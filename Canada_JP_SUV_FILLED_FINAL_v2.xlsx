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jab\Downloads\"/>
    </mc:Choice>
  </mc:AlternateContent>
  <xr:revisionPtr revIDLastSave="0" documentId="8_{453736C4-0C0D-4F1A-B904-EB41F5807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V主表" sheetId="1" r:id="rId1"/>
    <sheet name="说明 README" sheetId="2" r:id="rId2"/>
    <sheet name="补全依据 Fill Log" sheetId="3" r:id="rId3"/>
  </sheets>
  <definedNames>
    <definedName name="_xlnm._FilterDatabase" localSheetId="0" hidden="1">SUV主表!$A$3:$BL$46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41" i="1"/>
  <c r="H40" i="1"/>
  <c r="H39" i="1"/>
  <c r="H38" i="1"/>
  <c r="AG37" i="1"/>
  <c r="AB37" i="1"/>
  <c r="AC37" i="1" s="1"/>
  <c r="H37" i="1"/>
  <c r="H36" i="1"/>
  <c r="H35" i="1"/>
  <c r="H34" i="1"/>
  <c r="H33" i="1"/>
  <c r="H32" i="1"/>
  <c r="H31" i="1"/>
  <c r="H30" i="1"/>
  <c r="H29" i="1"/>
  <c r="H28" i="1"/>
  <c r="H27" i="1"/>
  <c r="H26" i="1"/>
  <c r="AG25" i="1"/>
  <c r="AB25" i="1"/>
  <c r="AC25" i="1" s="1"/>
  <c r="H25" i="1"/>
  <c r="H24" i="1"/>
  <c r="AG23" i="1"/>
  <c r="AB23" i="1"/>
  <c r="AC23" i="1" s="1"/>
  <c r="H23" i="1"/>
  <c r="H22" i="1"/>
  <c r="H21" i="1"/>
  <c r="AG20" i="1"/>
  <c r="AB20" i="1"/>
  <c r="AC20" i="1" s="1"/>
  <c r="H20" i="1"/>
  <c r="AG19" i="1"/>
  <c r="AB19" i="1"/>
  <c r="AC19" i="1" s="1"/>
  <c r="H19" i="1"/>
  <c r="H18" i="1"/>
  <c r="H17" i="1"/>
  <c r="H16" i="1"/>
  <c r="H15" i="1"/>
  <c r="H14" i="1"/>
  <c r="H13" i="1"/>
  <c r="AG12" i="1"/>
  <c r="AB12" i="1"/>
  <c r="AC12" i="1" s="1"/>
  <c r="H12" i="1"/>
  <c r="H11" i="1"/>
  <c r="H10" i="1"/>
  <c r="H9" i="1"/>
  <c r="H8" i="1"/>
  <c r="H7" i="1"/>
  <c r="H6" i="1"/>
  <c r="H5" i="1"/>
  <c r="AD37" i="1" l="1"/>
  <c r="AD25" i="1"/>
  <c r="AD20" i="1"/>
  <c r="AD23" i="1"/>
  <c r="AD12" i="1"/>
  <c r="AD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M4" authorId="0" shapeId="0" xr:uid="{00000000-0006-0000-0000-000001000000}">
      <text>
        <r>
          <rPr>
            <sz val="11"/>
            <color theme="1"/>
            <rFont val="Calibri"/>
          </rPr>
          <t>Blank T1/Dongchedi attributes were backfilled in March 2026 using official/global specs. See sheet '补全依据 Fill Log' for sources, assumptions, and confidence.</t>
        </r>
      </text>
    </comment>
  </commentList>
</comments>
</file>

<file path=xl/sharedStrings.xml><?xml version="1.0" encoding="utf-8"?>
<sst xmlns="http://schemas.openxmlformats.org/spreadsheetml/2006/main" count="1997" uniqueCount="744">
  <si>
    <t>Japan Auto SUV — 精简主表 / Consolidated Master Table  |  52款SUV  |  T2加拿大销量 + T3 CO₂/需求估算 + T1懂车帝规格</t>
  </si>
  <si>
    <t>识别字段 / Identifiers</t>
  </si>
  <si>
    <t>加拿大销量 Canada Sales (T2)  ·  销量已叠加 / Sales summed</t>
  </si>
  <si>
    <t>加拿大CO₂ &amp; 油耗 (T3)  ·  含同级均值 / Incl. class averages</t>
  </si>
  <si>
    <t>需求估算 Demand Model (T3 derived)  ·  ⚠ 公式推算非真实销量 / Formula estimates, not real sales</t>
  </si>
  <si>
    <t>参考/价格 Reference &amp; Price Proxy (T3 derived)</t>
  </si>
  <si>
    <t>中国规格 China Specs — 懂车帝 (T1)  ·  数值取最大值 / Max value taken</t>
  </si>
  <si>
    <t>Match Status</t>
  </si>
  <si>
    <t>Sources (of 3)</t>
  </si>
  <si>
    <t>Brand</t>
  </si>
  <si>
    <t>Model</t>
  </si>
  <si>
    <t>Vehicle Class</t>
  </si>
  <si>
    <t>CA Sales 2026 Jan–Feb</t>
  </si>
  <si>
    <t>CA Brand Total</t>
  </si>
  <si>
    <t>CA Sales Share</t>
  </si>
  <si>
    <t>Merged From (T2)</t>
  </si>
  <si>
    <t>Engine Size L</t>
  </si>
  <si>
    <t>Cylinders</t>
  </si>
  <si>
    <t>Transmission [CA]</t>
  </si>
  <si>
    <t>Fuel Type [CA]</t>
  </si>
  <si>
    <t>FC City L/100km</t>
  </si>
  <si>
    <t>FC Hwy L/100km</t>
  </si>
  <si>
    <t>FC Comb L/100km</t>
  </si>
  <si>
    <t>FC Comb mpg</t>
  </si>
  <si>
    <t>CO₂ g/km (max)</t>
  </si>
  <si>
    <t>Class Avg CO₂</t>
  </si>
  <si>
    <t>Class Avg MPG</t>
  </si>
  <si>
    <t>Class Avg Engine L</t>
  </si>
  <si>
    <t>Class Avg Cylinders</t>
  </si>
  <si>
    <t>Merged From (T3)</t>
  </si>
  <si>
    <t>CA 2024 Total Sales</t>
  </si>
  <si>
    <t>Coverage Factor</t>
  </si>
  <si>
    <t>Base Demand Units</t>
  </si>
  <si>
    <t>Demand Modifier Raw</t>
  </si>
  <si>
    <t>Demand Modifier Norm.</t>
  </si>
  <si>
    <t>Demand Target Units</t>
  </si>
  <si>
    <t>Revenue Target CAD</t>
  </si>
  <si>
    <t>Brand Benchmark CAD</t>
  </si>
  <si>
    <t>Price Index (class)</t>
  </si>
  <si>
    <t>Price Proxy CAD</t>
  </si>
  <si>
    <t>Sheet Avg Engine L</t>
  </si>
  <si>
    <t>Sheet Avg Cylinders</t>
  </si>
  <si>
    <t>Price Ref ID</t>
  </si>
  <si>
    <t>Demand Ref ID</t>
  </si>
  <si>
    <t>Price Exact Reference</t>
  </si>
  <si>
    <t>Powertrain Type</t>
  </si>
  <si>
    <t>Displacement L (max)</t>
  </si>
  <si>
    <t>Induction</t>
  </si>
  <si>
    <t>Max Power PS (max)</t>
  </si>
  <si>
    <t>Max Torque Nm (max)</t>
  </si>
  <si>
    <t>0-100km/h s (best)</t>
  </si>
  <si>
    <t>Top Speed km/h (max)</t>
  </si>
  <si>
    <t>Transmission [CN]</t>
  </si>
  <si>
    <t>Drive Config</t>
  </si>
  <si>
    <t>WLTC FC L/100km</t>
  </si>
  <si>
    <t>Fuel Type [CN]</t>
  </si>
  <si>
    <t>Thermal Eff % (max)</t>
  </si>
  <si>
    <t>Length mm (max)</t>
  </si>
  <si>
    <t>Width mm (max)</t>
  </si>
  <si>
    <t>Height mm (max)</t>
  </si>
  <si>
    <t>Wheelbase mm (max)</t>
  </si>
  <si>
    <t>Seats (max)</t>
  </si>
  <si>
    <t>Boot L (max)</t>
  </si>
  <si>
    <t>Curb Weight kg (max)</t>
  </si>
  <si>
    <t>Front Suspension</t>
  </si>
  <si>
    <t>Rear Suspension</t>
  </si>
  <si>
    <t>Steering</t>
  </si>
  <si>
    <t>AEB</t>
  </si>
  <si>
    <t>ESP/DSC</t>
  </si>
  <si>
    <t>Earliest Launch</t>
  </si>
  <si>
    <t>Merged From (T1)</t>
  </si>
  <si>
    <t>匹配状态</t>
  </si>
  <si>
    <t>数据源数量（共3个）</t>
  </si>
  <si>
    <t>品牌</t>
  </si>
  <si>
    <t>车型</t>
  </si>
  <si>
    <t>车辆级别</t>
  </si>
  <si>
    <t>加拿大销量 2026年1-2月</t>
  </si>
  <si>
    <t>品牌总销量</t>
  </si>
  <si>
    <t>车型占品牌销量比</t>
  </si>
  <si>
    <t>合并自（销量来源）</t>
  </si>
  <si>
    <t>排量（升）</t>
  </si>
  <si>
    <t>气缸数</t>
  </si>
  <si>
    <t>变速箱（加拿大）</t>
  </si>
  <si>
    <t>燃料类型（加拿大）</t>
  </si>
  <si>
    <t>市区油耗 L/100km</t>
  </si>
  <si>
    <t>高速油耗 L/100km</t>
  </si>
  <si>
    <t>综合油耗 L/100km</t>
  </si>
  <si>
    <t>综合油耗 mpg</t>
  </si>
  <si>
    <t>CO₂排放 g/km（最大）</t>
  </si>
  <si>
    <t>同级CO₂均值</t>
  </si>
  <si>
    <t>同级MPG均值</t>
  </si>
  <si>
    <t>同级排量均值（升）</t>
  </si>
  <si>
    <t>同级气缸数均值</t>
  </si>
  <si>
    <t>合并自（CO₂来源）</t>
  </si>
  <si>
    <t>加拿大2024新车总销量</t>
  </si>
  <si>
    <t>覆盖系数</t>
  </si>
  <si>
    <t>基础需求量（推算）</t>
  </si>
  <si>
    <t>需求修正系数（原始）</t>
  </si>
  <si>
    <t>需求修正系数（归一化）</t>
  </si>
  <si>
    <t>目标需求量（推算）</t>
  </si>
  <si>
    <t>目标收入 CAD（推算）</t>
  </si>
  <si>
    <t>品牌基准价 CAD</t>
  </si>
  <si>
    <t>车型级别价格指数</t>
  </si>
  <si>
    <t>价格代理值 CAD</t>
  </si>
  <si>
    <t>全表排量均值（升）</t>
  </si>
  <si>
    <t>全表气缸数均值</t>
  </si>
  <si>
    <t>价格参考ID</t>
  </si>
  <si>
    <t>需求参考ID</t>
  </si>
  <si>
    <t>价格来源链接</t>
  </si>
  <si>
    <t>动力类型</t>
  </si>
  <si>
    <t>排量（升，最大）</t>
  </si>
  <si>
    <t>进气方式</t>
  </si>
  <si>
    <t>最大马力 PS（最大）</t>
  </si>
  <si>
    <t>最大扭矩 Nm（最大）</t>
  </si>
  <si>
    <t>0-100加速 s（最优）</t>
  </si>
  <si>
    <t>最高速度 km/h（最大）</t>
  </si>
  <si>
    <t>变速箱（中国）</t>
  </si>
  <si>
    <t>驱动方式</t>
  </si>
  <si>
    <t>WLTC综合油耗 L/100km</t>
  </si>
  <si>
    <t>燃料类型（中国）</t>
  </si>
  <si>
    <t>热效率 %（最大）</t>
  </si>
  <si>
    <t>车身长度 mm（最大）</t>
  </si>
  <si>
    <t>车身宽度 mm（最大）</t>
  </si>
  <si>
    <t>车身高度 mm（最大）</t>
  </si>
  <si>
    <t>轴距 mm（最大）</t>
  </si>
  <si>
    <t>座位数（最大）</t>
  </si>
  <si>
    <t>后备箱容积 L（最大）</t>
  </si>
  <si>
    <t>整备质量 kg（最大）</t>
  </si>
  <si>
    <t>前悬架类型</t>
  </si>
  <si>
    <t>后悬架类型</t>
  </si>
  <si>
    <t>转向系统</t>
  </si>
  <si>
    <t>自动紧急制动</t>
  </si>
  <si>
    <t>车身稳定控制</t>
  </si>
  <si>
    <t>最早上市时间</t>
  </si>
  <si>
    <t>合并自（懂车帝来源）</t>
  </si>
  <si>
    <t>○ T2 only</t>
  </si>
  <si>
    <t>ACURA</t>
  </si>
  <si>
    <t>ADX</t>
  </si>
  <si>
    <t>PRC_ACU_2025</t>
  </si>
  <si>
    <t>DEM_CAN_2024</t>
  </si>
  <si>
    <t>2025 Acura Integra | https://www.acura.ca/en/buildyouracura</t>
  </si>
  <si>
    <t>✓ T2+T3</t>
  </si>
  <si>
    <t>MDX</t>
  </si>
  <si>
    <t>AM7 / AS6 / AS9</t>
  </si>
  <si>
    <t>Z</t>
  </si>
  <si>
    <t>MDX 4WD | MDX HYBRID AWD | MDX Hybrid AWD | MDX SH-AWD | MDX SH-AWD A-SPEC | MDX SH-AWD ELITE</t>
  </si>
  <si>
    <t>Petrol</t>
  </si>
  <si>
    <t>Naturally Aspirated / Turbocharged</t>
  </si>
  <si>
    <t>Automatic Transmission with Manual Mode (AT)</t>
  </si>
  <si>
    <t>FF (Front-Engine, Front-Wheel Drive) / FF/AWD (Front-Engine, All-Wheel Drive)</t>
  </si>
  <si>
    <t>Double Wishbone Independent</t>
  </si>
  <si>
    <t>Multi-Link Independent</t>
  </si>
  <si>
    <t>Electric Power Steering (EPS)</t>
  </si>
  <si>
    <t>●Standard</t>
  </si>
  <si>
    <t>2000.10</t>
  </si>
  <si>
    <t>Filled from 2025/2026 Acura MDX official specs + Type S max trim</t>
  </si>
  <si>
    <t>RDX</t>
  </si>
  <si>
    <t>AS10 / AS6</t>
  </si>
  <si>
    <t>RDX AWD | RDX AWD A-SPEC</t>
  </si>
  <si>
    <t>Turbocharged</t>
  </si>
  <si>
    <t>MacPherson Strut Independent</t>
  </si>
  <si>
    <t>2006.04</t>
  </si>
  <si>
    <t>Filled from 2024/2026 Acura RDX official specs</t>
  </si>
  <si>
    <t>ZDX</t>
  </si>
  <si>
    <t>✓ All 3</t>
  </si>
  <si>
    <t>HONDA</t>
  </si>
  <si>
    <t>CR-V</t>
  </si>
  <si>
    <t>A5 / AV</t>
  </si>
  <si>
    <t>X</t>
  </si>
  <si>
    <t>CR-V | CR-V AWD</t>
  </si>
  <si>
    <t>PRC_HON_2026</t>
  </si>
  <si>
    <t>2026 Honda Civic Sedan LX | https://www.honda.ca/en/civic_sedan/trims</t>
  </si>
  <si>
    <t>Diesel / Hybrid Electric (HEV) / Petrol / Plug-in Hybrid (PHEV)</t>
  </si>
  <si>
    <t>Automatic Transmission (AT) / Continuously Variable Transmission (CVT) / Electronic CVT (E-CVT) / Manual Transmission (MT)</t>
  </si>
  <si>
    <t>CR-V 2023 240 TURBO CVT 2WD Smart 5-Seat | CR-V 2023 240 TURBO CVT2WDPioneer5-Seat | CR-V 2023 240 TURBO CVT2WDPioneer7-Seat | CR-V 2023 240 TURBO CVT2WDPrestige7-Seat | CR-V 2023 240 TURBO CVT2WDSmart Leading5-Seat | CR-V 2023 240 TURBO CVT2WDVitality5-Seat | CR-V 2023 240 TURBO CVTAWDPrestige Brilliance5-Seat | CR-V 2023 240 TURBO CVTAWDPrestige5-Seat | CR-V 2023 e:HEV 2.0L 2WD Smart Edition | CR-V 2023 e:HEV 2.0L 2WDSmart | CR-V 2023 e:HEV 2.0L 2WDSmart Brilliant | CR-V 2023 e:HEV 2.0L 2WDSmart Comfort | CR-V 2023 e:HEV 2.0L AWDSmart Prestige | CR-V 2024 240 TURBO CVT2WDPioneer5-Seat | CR-V 2024 240 TURBO CVT2WDPioneer7-Seat | CR-V 2024 240 TURBO CVT2WDPrestige7-Seat | CR-V 2024 240 TURBO CVT2WDSmart Leading5-Seat | CR-V 2024 240 TURBO CVT2WDVitality5-Seat | CR-V 2024 240 TURBO CVTAWDPrestige Brilliance5-Seat | CR-V 2024 240 TURBO CVTAWDPrestige5-Seat | CR-V 2024 e:HEV 2.0L 2WDSmart Elegant | CR-V 2024 e:HEV 2.0L 2WDSmart Elite | CR-V PHEV 2023 e:PHEV 2.0L Leading Plus | CR-V PHEV 2023 e:PHEV 2.0L Pioneering | CR-V(Overseas) 2002 2.0 AT | CR-V(Overseas) 2002 2.4 AT | CR-V(Overseas) 2002 2.4 MT | CR-V(Overseas) 2004 2.0 AT | CR-V(Overseas) 2004 2.2 CD Ti MT Diesel | CR-V(Overseas) 2005 2.4 AT | CR-V(Overseas) 2005 2.4 MT | CR-V(Overseas) 2007 2.0 AT | CR-V(Overseas) 2007 2.2 CD Ti MT Diesel | CR-V(Overseas) 2007 2.4 AT EX | CR-V(Overseas) 2007 2.4 AT EX L | CR-V(Overseas) 2007 2.4 AT LX | CR-V(Overseas) 2009 2.0 AT VTEC | CR-V(Overseas) 2009 2.2 CD Ti MT Diesel</t>
  </si>
  <si>
    <t>HR-V</t>
  </si>
  <si>
    <t>AV / AV7 / M6</t>
  </si>
  <si>
    <t>HR-V | HR-V AWD</t>
  </si>
  <si>
    <t>Hybrid Electric (HEV) / Petrol</t>
  </si>
  <si>
    <t>Continuously Variable Transmission (CVT) / Electronic CVT (E-CVT)</t>
  </si>
  <si>
    <t>FF (Front-Engine, Front-Wheel Drive)</t>
  </si>
  <si>
    <t>HR-V 2023 2.0L e:HEV Dynamic | HR-V 2023 2.0L e:HEV Power Drive | HR-V 2023 2.0L e:HEV Smart Dynamic | HR-V 2023 2.0L e:HEV Thrilling | HR-V 2023 240 TURBO CVTDynamic | HR-V 2023 240 TURBO CVTDynamic Elite | HR-V 2023 240 TURBO CVTDynamic Premium | HR-V 2023 240 TURBO CVTDynamic Trend | HR-V 2024 240 TURBO CVTDynamic Comfort | HR-V（Overseas） 2021 e:HEV</t>
  </si>
  <si>
    <t>PASSPORT</t>
  </si>
  <si>
    <t>Passport</t>
  </si>
  <si>
    <t>A9 / AS9</t>
  </si>
  <si>
    <t>Passport AWD</t>
  </si>
  <si>
    <t>Naturally Aspirated</t>
  </si>
  <si>
    <t>FF/AWD (Front-Engine, All-Wheel Drive)</t>
  </si>
  <si>
    <t>1993.01</t>
  </si>
  <si>
    <t>Filled from 2025/2026 Honda Passport official specs</t>
  </si>
  <si>
    <t>PILOT</t>
  </si>
  <si>
    <t>Pilot</t>
  </si>
  <si>
    <t>A5 / A6 / AS9</t>
  </si>
  <si>
    <t>PILOT | PILOT 4WD | PILOT AWD | Pilot | Pilot AWD</t>
  </si>
  <si>
    <t>2002.04</t>
  </si>
  <si>
    <t>Filled from 2025/2026 Honda Pilot official specs</t>
  </si>
  <si>
    <t>PROLOGUE</t>
  </si>
  <si>
    <t>INFINITI</t>
  </si>
  <si>
    <t>QX50</t>
  </si>
  <si>
    <t>AS7 / AV8</t>
  </si>
  <si>
    <t>QX50 AWD</t>
  </si>
  <si>
    <t>PRC_INF_2025</t>
  </si>
  <si>
    <t>2025 INFINITI QX50 PURE | https://www.infiniti.ca/vehicles/crossovers-suvs/qx50/specs.html</t>
  </si>
  <si>
    <t>Continuously Variable Transmission (CVT)</t>
  </si>
  <si>
    <t>QX50 2024 2.0T 2WD Avantgarde | QX50 2024 2.0T 2WD Style | QX50 2024 2.0T AWD Luxury</t>
  </si>
  <si>
    <t>✓ T1+T2</t>
  </si>
  <si>
    <t>QX55</t>
  </si>
  <si>
    <t>FF (Front-Engine, Front-Wheel Drive) | FF/AWD (Front-Engine, All-Wheel Drive)</t>
  </si>
  <si>
    <t>Electric Power Steering (EPS) | Steer-by-Wire</t>
  </si>
  <si>
    <t>2022.08</t>
  </si>
  <si>
    <t>QX55 2022 2.0T 2WD Radiance | QX55 2022 2.0T AWD Dynamic Radiance | QX55 2022 2.0T AWD Comfort Radiance | QX55 2022 2.0T AWD Luxury Radiance</t>
  </si>
  <si>
    <t>QX60</t>
  </si>
  <si>
    <t>AV / AV7</t>
  </si>
  <si>
    <t>X / Z</t>
  </si>
  <si>
    <t>QX60 | QX60 AWD | QX60 HYBRID AWD</t>
  </si>
  <si>
    <t>QX60 2024 2.0T2WD Comfort | QX60 2024 2.0T2WD Elegant | QX60 2024 2.0TAWD Flagship | QX60 2024 2.0TAWD Luxury | QX60 2024 2.0TAWD Prestige | QX60 2024 2.0TAWD Superior</t>
  </si>
  <si>
    <t>QX80</t>
  </si>
  <si>
    <t>AS7</t>
  </si>
  <si>
    <t>QX80 4WD</t>
  </si>
  <si>
    <t>Twin-Turbocharged</t>
  </si>
  <si>
    <t>FR (Front-Engine, Rear-Wheel Drive) / FR/4WD (Front-Engine, Four-Wheel Drive)</t>
  </si>
  <si>
    <t>2004.04</t>
  </si>
  <si>
    <t>Filled from current Infiniti QX80 official specs</t>
  </si>
  <si>
    <t>LEXUS</t>
  </si>
  <si>
    <t>GX</t>
  </si>
  <si>
    <t>AS6</t>
  </si>
  <si>
    <t>GX 460</t>
  </si>
  <si>
    <t>PRC_LEX_2025</t>
  </si>
  <si>
    <t>2025 Lexus NX Series | https://media.lexus.ca/en/releases/2024/now-on-sale--2025-lexus-nx-250---350---350h---450h-.html</t>
  </si>
  <si>
    <t>Hybrid Electric (HEV)</t>
  </si>
  <si>
    <t>Solid Axle (Non-Independent)</t>
  </si>
  <si>
    <t>GX 2024 550 h OVERTRAILHorizon | GX 2024 550 h Summit | GX 2024 550 h Vanguard</t>
  </si>
  <si>
    <t>LX</t>
  </si>
  <si>
    <t>AS6 / AS8</t>
  </si>
  <si>
    <t>LX 570</t>
  </si>
  <si>
    <t>LX 2025 700 h Frontier | LX 2025 700 h OVERTRAIL Frontier | LX 2025 700 h Pioneer | LX 2025 700 h VIP World</t>
  </si>
  <si>
    <t>NX</t>
  </si>
  <si>
    <t>AS6 / AV6</t>
  </si>
  <si>
    <t>NX 200t AWD | NX 200t AWD F SPORT | NX 300 AWD | NX 300 AWD F SPORT | NX 300h AWD</t>
  </si>
  <si>
    <t>Hybrid Electric (HEV) / Petrol / Plug-in Hybrid (PHEV)</t>
  </si>
  <si>
    <t>Automatic Transmission with Manual Mode (AT) / Electronic CVT (E-CVT)</t>
  </si>
  <si>
    <t>NX 2024 260 FWD F SPORT | NX 2024 260 FWD F SPORT Plus | NX 2024 350h AWD F SPORT Adventure | NX 2024 350h AWD OVERTRAIL | NX 2024 350h FWD F SPORT | NX 2024 350h FWD F SPORT Plus | NX 2025 260 FWD 10th Anniversary Special Limited Edition | NX PHEV 2024 400 h+ Touring | NX PHEV 2024 400 h+ Touring Plus</t>
  </si>
  <si>
    <t>RX</t>
  </si>
  <si>
    <t>AS6 / AS8 / AV6</t>
  </si>
  <si>
    <t>RX 350 AWD | RX 350 L AWD | RX 450h AWD | RX 450h L AWD</t>
  </si>
  <si>
    <t>RX 2023 350h 2WD Comfort | RX 2023 350h 2WDComfort Plus | RX 2023 350h AWD Smart Edition | RX 2023 350h AWDPure Luxury | RX 2023 500h DIRECT4 F SPORT Performance | RX 2025 300 AWDSport Luxury | RX 2025 350h 2WD Comfort | RX 2025 350h 2WDComfort Plus | RX 2025 350h AWD Smart Edition | RX 2025 350h AWDPure Luxury | RX 2025 500h F SPORT Performance | RX PHEV 2023 450h+ AWDTouring Luxury | RX PHEV 2025 450h+ AWDTouring Luxury</t>
  </si>
  <si>
    <t>RZ</t>
  </si>
  <si>
    <t>Battery Electric (BEV)</t>
  </si>
  <si>
    <t>Fixed-Ratio Gearbox</t>
  </si>
  <si>
    <t>FF (Front-Engine, Front-Wheel Drive) | Dual-Motor AWD</t>
  </si>
  <si>
    <t>2023.02</t>
  </si>
  <si>
    <t>RZ 2024 300 e Long Range Premium AWD | RZ 2024 300 e Long Range Premium Plus | RZ 2023 450 e DIRECT4 Premium Plus | RZ 2023 450 e DIRECT4 Luxury AWD</t>
  </si>
  <si>
    <t>TX</t>
  </si>
  <si>
    <t>UX</t>
  </si>
  <si>
    <t>AS10 | AV6</t>
  </si>
  <si>
    <t>UX 200 | UX 250h | UX 250h AWD</t>
  </si>
  <si>
    <t>Electronic CVT (E-CVT)</t>
  </si>
  <si>
    <t>2024.02</t>
  </si>
  <si>
    <t>UX 2024 300h Explorer | UX 2024 300h Explorer Sport | UX 2024 300h Adventure | UX 2024 300h F SPORT</t>
  </si>
  <si>
    <t>MAZDA</t>
  </si>
  <si>
    <t>CX-30</t>
  </si>
  <si>
    <t>CX-30 | CX-30 4WD | CX-30 4WD (Cylinder Deactivation)</t>
  </si>
  <si>
    <t>PRC_MAZ_2025</t>
  </si>
  <si>
    <t>2025 Mazda3 | https://en.media.mazda.ca/2025-06-03-Mazda-Canada-Pricing-Increase-Media-Statement</t>
  </si>
  <si>
    <t>Automatic Transmission with Manual Mode (AT) / Manual Transmission (MT)</t>
  </si>
  <si>
    <t>Torsion Beam (Non-Independent)</t>
  </si>
  <si>
    <t>Optional / ●Standard</t>
  </si>
  <si>
    <t>CX-30 2024 2.0L AT Comfort Plus | CX-30 2024 2.0L AT Elegance | CX-30 2024 2.0L ATComfort Plus | CX-30 2024 2.0L ATElegant Comfort | CX-30 2024 2.0L MT Comfort Plus | CX-30(Overseas) 2024 Base</t>
  </si>
  <si>
    <t>CX-5</t>
  </si>
  <si>
    <t>AS6 / M6</t>
  </si>
  <si>
    <t>D / X</t>
  </si>
  <si>
    <t>CX-5 | CX-5  | CX-5 (Cylinder Deactivation) | CX-5 (SIL) | CX-5 4WD | CX-5 4WD (Cylinder Deactivation) | CX-5 Diesel 4WD | CX-5 Turbo 4WD</t>
  </si>
  <si>
    <t>CX-5 2024 2.0L AT 2WDComfort | CX-5 2024 2.0L AT 2WDSmart | CX-5 2024 2.0L AT 2WDSmart Elegant | CX-5 2024 2.0L AT 2WDSmart Elegant Pro | CX-5 2024 2.0L AT 2WDSmart Pro | CX-5 2024 2.5 L AT 2WDSmart Prestige | CX-5 2024 2.5 L AT AWDPrestige Brilliance</t>
  </si>
  <si>
    <t>CX-50</t>
  </si>
  <si>
    <t>Petrol | Hybrid Electric (HEV)</t>
  </si>
  <si>
    <t>Automatic Transmission with Manual Mode (AT) | Electronic CVT (E-CVT)</t>
  </si>
  <si>
    <t>2023.05</t>
  </si>
  <si>
    <t>CX-50 2023 2.0L ATDrive | CX-50 2023 2.0L ATLeading Drive | CX-50 2023 2.5 L ATComfort Drive | CX-50 2023 2.0L ATSafe Drive | CX-50 2024 2.5 L ATTouring Drive | CX-50 2023 2.5 L ATSmart Drive | CX-50 2023 2.5 L HEV 2WDComfort Drive | CX-50 2023 2.5 L ATPrestige Drive | CX-50 2023 2.5 L HEV 2WDSafe Drive | CX-50 2023 2.5 L HEV AWDSmart Drive | CX-50 2023 2.5 L HEV AWDPrestige Drive</t>
  </si>
  <si>
    <t>CX-70</t>
  </si>
  <si>
    <t>✓ T1+T3</t>
  </si>
  <si>
    <t>CX-90</t>
  </si>
  <si>
    <t>CX-9 | CX-9 4WD</t>
  </si>
  <si>
    <t>CX-9 2007 3.7 AT | CX-9 2013 3.7 L ATStandard</t>
  </si>
  <si>
    <t>MITSUBISHI</t>
  </si>
  <si>
    <t>ASX</t>
  </si>
  <si>
    <t>AV6 | M5</t>
  </si>
  <si>
    <t>RVR | RVR 4WD</t>
  </si>
  <si>
    <t>PRC_MIT_2026</t>
  </si>
  <si>
    <t>2026 Mitsubishi Eclipse Cross | https://www.mitsubishi-motors.ca/en/vehicles/eclipse-cross</t>
  </si>
  <si>
    <t>ECLIPSE CROSS</t>
  </si>
  <si>
    <t>Eclipse Cross</t>
  </si>
  <si>
    <t>AV8</t>
  </si>
  <si>
    <t>ECLIPSE CROSS | ECLIPSE CROSS 4WD | Eclipse Cross 4WD</t>
  </si>
  <si>
    <t>2017.10</t>
  </si>
  <si>
    <t>Filled from current Mitsubishi Eclipse Cross official specs</t>
  </si>
  <si>
    <t>OUTLANDER</t>
  </si>
  <si>
    <t>Outlander</t>
  </si>
  <si>
    <t>A6 / AS6 / AV6</t>
  </si>
  <si>
    <t>OUTLANDER | OUTLANDER 4WD | Outlander 4WD</t>
  </si>
  <si>
    <t>Petrol / Plug-in Hybrid Electric (PHEV)</t>
  </si>
  <si>
    <t>Continuously Variable Transmission (CVT) / Automatic Transmission with Manual Mode (AT)</t>
  </si>
  <si>
    <t>2001.06</t>
  </si>
  <si>
    <t>Filled from current Mitsubishi Outlander / Outlander PHEV official specs</t>
  </si>
  <si>
    <t>NISSAN</t>
  </si>
  <si>
    <t>ARIYA</t>
  </si>
  <si>
    <t>PRC_NIS_2025</t>
  </si>
  <si>
    <t>2025 Nissan Sentra S MT | https://www.nissan.ca/vehicles/cars/sentra.html</t>
  </si>
  <si>
    <t>ARMADA</t>
  </si>
  <si>
    <t>A5 / AS7</t>
  </si>
  <si>
    <t>ARMADA 4WD | Armada 4WD</t>
  </si>
  <si>
    <t>2003.08</t>
  </si>
  <si>
    <t>Filled from current Nissan Armada official specs</t>
  </si>
  <si>
    <t>○ T3 only</t>
  </si>
  <si>
    <t>JUKE</t>
  </si>
  <si>
    <t>AV / AV7 / AV8 / M6</t>
  </si>
  <si>
    <t>JUKE | JUKE AWD | JUKE NISMO RS | JUKE NISMO RS AWD</t>
  </si>
  <si>
    <t>Manual Transmission (MT) / Continuously Variable Transmission (CVT) / Dual-Clutch Transmission (DCT)</t>
  </si>
  <si>
    <t>Torsion Beam (Non-Independent) / Multi-Link Independent</t>
  </si>
  <si>
    <t>2010.06</t>
  </si>
  <si>
    <t>Filled from Nissan Juke family specs (current global + historic performance trims)</t>
  </si>
  <si>
    <t>KICKS</t>
  </si>
  <si>
    <t>AV</t>
  </si>
  <si>
    <t>KICKS | Kicks</t>
  </si>
  <si>
    <t>2016.08</t>
  </si>
  <si>
    <t>Filled from current Nissan Kicks family specs</t>
  </si>
  <si>
    <t>MURANO</t>
  </si>
  <si>
    <t>Murano</t>
  </si>
  <si>
    <t>MURANO | MURANO AWD | Murano | Murano AWD</t>
  </si>
  <si>
    <t>2002.05</t>
  </si>
  <si>
    <t>Filled from current Nissan Murano official specs</t>
  </si>
  <si>
    <t>PATHFINDER</t>
  </si>
  <si>
    <t>Pathfinder</t>
  </si>
  <si>
    <t>PATHFINDER | PATHFINDER 4WD | PATHFINDER 4WD PLATINUM | PATHFINDER HYBRID 4WD | Pathfinder | Pathfinder 4WD | Pathfinder 4WD Platinum</t>
  </si>
  <si>
    <t>1985.01</t>
  </si>
  <si>
    <t>Filled from current Nissan Pathfinder family specs</t>
  </si>
  <si>
    <t>QASHQAI</t>
  </si>
  <si>
    <t>QASHQAI | QASHQAI AWD | Qashqai | Qashqai AWD</t>
  </si>
  <si>
    <t>Continuously Variable Transmission (CVT) / Dual-Clutch Transmission (DCT) / Single-Speed Reduction Gear</t>
  </si>
  <si>
    <t>2006.09</t>
  </si>
  <si>
    <t>Filled from current Nissan Qashqai official/global specs</t>
  </si>
  <si>
    <t>ROGUE</t>
  </si>
  <si>
    <t>Rogue</t>
  </si>
  <si>
    <t>ROGUE | ROGUE AWD | Rogue | Rogue AWD</t>
  </si>
  <si>
    <t>2007.10</t>
  </si>
  <si>
    <t>Filled from current Nissan Rogue family specs</t>
  </si>
  <si>
    <t>XTERRA</t>
  </si>
  <si>
    <t>A5 / M6</t>
  </si>
  <si>
    <t>XTERRA 4WD</t>
  </si>
  <si>
    <t>Manual Transmission (MT) / Automatic Transmission with Manual Mode (AT)</t>
  </si>
  <si>
    <t>FR/4WD (Front-Engine, Four-Wheel Drive)</t>
  </si>
  <si>
    <t>Hydraulic Power Steering (HPS)</t>
  </si>
  <si>
    <t>Not Standard</t>
  </si>
  <si>
    <t>1999.01</t>
  </si>
  <si>
    <t>Filled from last North American Nissan Xterra generation specs</t>
  </si>
  <si>
    <t>SUBARU</t>
  </si>
  <si>
    <t>ASCENT</t>
  </si>
  <si>
    <t>Ascent</t>
  </si>
  <si>
    <t>Ascent AWD</t>
  </si>
  <si>
    <t>PRC_SUB_2025</t>
  </si>
  <si>
    <t>2025 Subaru Crosstrek Convenience | https://m.subaru.ca/WebPage.aspx?CarID=1537&amp;ColourID=4452&amp;Frequency=M&amp;ModelYear=2025&amp;ProvinceCode=NU&amp;Range=Crosstrek&amp;Term=24&amp;WebPageID=25793&amp;WebSiteID=282&amp;financeCategory=F&amp;manufacturerCredit=1000</t>
  </si>
  <si>
    <t>2018.06</t>
  </si>
  <si>
    <t>Filled from current Subaru Ascent official specs</t>
  </si>
  <si>
    <t>CROSSTREK</t>
  </si>
  <si>
    <t>XV</t>
  </si>
  <si>
    <t>AV | M5 | AV6</t>
  </si>
  <si>
    <t>XV CROSSTREK AWD | XV CROSSTREK HYBRID AWD</t>
  </si>
  <si>
    <t>2012.09</t>
  </si>
  <si>
    <t>Filled from current Subaru Crosstrek family specs</t>
  </si>
  <si>
    <t>FORESTER</t>
  </si>
  <si>
    <t>Forester</t>
  </si>
  <si>
    <t>AV / AV6 / AV7 / AV8 / M6</t>
  </si>
  <si>
    <t>FORESTER AWD | Forester AWD</t>
  </si>
  <si>
    <t>1997.02</t>
  </si>
  <si>
    <t>Filled from current Subaru Forester family specs</t>
  </si>
  <si>
    <t>OUTBACK</t>
  </si>
  <si>
    <t>Outback</t>
  </si>
  <si>
    <t>AS5 / AV / AV6 / AV7 / AV8 / M6</t>
  </si>
  <si>
    <t>OUTBACK AWD | Outback AWD</t>
  </si>
  <si>
    <t>1994.09</t>
  </si>
  <si>
    <t>Filled from current Subaru Outback official specs</t>
  </si>
  <si>
    <t>SOLTERRA</t>
  </si>
  <si>
    <t>TRIBECA</t>
  </si>
  <si>
    <t>AS5</t>
  </si>
  <si>
    <t>TRIBECA AWD</t>
  </si>
  <si>
    <t>2005.01</t>
  </si>
  <si>
    <t>Filled from last Subaru Tribeca family specs</t>
  </si>
  <si>
    <t>TOYOTA</t>
  </si>
  <si>
    <t>4RUNNER</t>
  </si>
  <si>
    <t>4Runner</t>
  </si>
  <si>
    <t>4RUNNER (Part-Time 4WD) | 4RUNNER 4WD | 4RUNNER 4WD (Part-Time 4WD) | 4Runner 4WD | 4Runner 4WD (Part-Time 4WD)</t>
  </si>
  <si>
    <t>PRC_TOY_2025</t>
  </si>
  <si>
    <t>2025 Toyota Corolla L | https://media.toyota.ca/en/releases/2024/now-on-sale--2025-toyota-corolla-sedan.html</t>
  </si>
  <si>
    <t>1984.05</t>
  </si>
  <si>
    <t>Filled from current Toyota 4Runner official specs</t>
  </si>
  <si>
    <t>BZ4X</t>
  </si>
  <si>
    <t>FJ CRUISER</t>
  </si>
  <si>
    <t>FJ CRUISER 4WD</t>
  </si>
  <si>
    <t>2006.01</t>
  </si>
  <si>
    <t>Filled from Toyota FJ Cruiser family specs (last sold generation)</t>
  </si>
  <si>
    <t>GRAND HIGHLANDER</t>
  </si>
  <si>
    <t>HIGHLANDER</t>
  </si>
  <si>
    <t>Highlander</t>
  </si>
  <si>
    <t>AS6 / AS8 / AV / AV6</t>
  </si>
  <si>
    <t>HIGHLANDER | HIGHLANDER AWD | HIGHLANDER AWD (Start/Stop System) | HIGHLANDER AWD LE | HIGHLANDER HYBRID AWD | HIGHLANDER HYBRID AWD LE | Highlander | Highlander AWD | Highlander AWD (Start/Stop System) | Highlander AWD LE | Highlander Hybrid AWD | Highlander Hybrid AWD Limited/Platinum</t>
  </si>
  <si>
    <t>Automatic Transmission (AT) / Electronically Controlled Continuously Variable Transmission (eCVT)</t>
  </si>
  <si>
    <t>2000.04</t>
  </si>
  <si>
    <t>Filled from current Toyota Highlander global/official specs</t>
  </si>
  <si>
    <t>LAND CRUISER</t>
  </si>
  <si>
    <t>RAV4</t>
  </si>
  <si>
    <t>RAV4 | RAV4 AWD | RAV4 AWD TRD Off-Road | RAV4 HYBRID AWD | RAV4 Hybrid AWD | RAV4 LE/XLE | RAV4 LIMITED AWD | RAV4 LIMITED/SE AWD</t>
  </si>
  <si>
    <t>Hybrid Electric (HEV) / Petrol / Plug-in Hybrid Electric (PHEV)</t>
  </si>
  <si>
    <t>Continuously Variable Transmission (CVT) / Electronically Controlled Continuously Variable Transmission (eCVT)</t>
  </si>
  <si>
    <t>1994.05</t>
  </si>
  <si>
    <t>Filled from current Toyota RAV4 family specs</t>
  </si>
  <si>
    <t>SEQUOIA</t>
  </si>
  <si>
    <t>SEQUOIA 4WD | Sequoia 4WD</t>
  </si>
  <si>
    <t>2000.01</t>
  </si>
  <si>
    <t>Filled from current Toyota Sequoia official specs</t>
  </si>
  <si>
    <t>VENZA</t>
  </si>
  <si>
    <t>VENZA | VENZA 4WD</t>
  </si>
  <si>
    <t>Electronically Controlled Continuously Variable Transmission (eCVT) / Continuously Variable Transmission (CVT)</t>
  </si>
  <si>
    <t>2008.11</t>
  </si>
  <si>
    <t>Filled from Toyota Venza/Harrier family specs</t>
  </si>
  <si>
    <t>日系品牌SUV数据表 使用说明  /  Japan Brand SUV Dataset — User Guide</t>
  </si>
  <si>
    <t>版本：2026年3月（v2补增）  |  52款日系品牌SUV  |  数据范围：加拿大市场销量、排放、价格；中国市场规格参数</t>
  </si>
  <si>
    <t>一、数据来源  /  1. Data Sources</t>
  </si>
  <si>
    <t>来源名称</t>
  </si>
  <si>
    <t>Source Name</t>
  </si>
  <si>
    <t>覆盖市场</t>
  </si>
  <si>
    <t>Market</t>
  </si>
  <si>
    <t>内容</t>
  </si>
  <si>
    <t>Content</t>
  </si>
  <si>
    <t>T1 — 懂车帝</t>
  </si>
  <si>
    <t>T1 — Dongchedi</t>
  </si>
  <si>
    <t>中国</t>
  </si>
  <si>
    <t>China</t>
  </si>
  <si>
    <t>车型规格参数（28字段）：动力、尺寸、悬架、安全配置等</t>
  </si>
  <si>
    <t>Vehicle specs (28 fields): powertrain, dimensions, suspension, safety</t>
  </si>
  <si>
    <t>T2 — 品牌销量截图</t>
  </si>
  <si>
    <t>T2 — Brand Sales Screenshots</t>
  </si>
  <si>
    <t>加拿大</t>
  </si>
  <si>
    <t>Canada</t>
  </si>
  <si>
    <t>2026年1-2月各车系实际销量，及2021-2025年历史年销量</t>
  </si>
  <si>
    <t>Actual Jan–Feb 2026 series sales; 2021–2025 historical annual sales</t>
  </si>
  <si>
    <t>T3 — 加拿大燃耗数据库</t>
  </si>
  <si>
    <t>T3 — Canada Fuel Consumption DB</t>
  </si>
  <si>
    <t>NRCan官方油耗、CO₂排放；另含公式推算的需求/价格估算字段</t>
  </si>
  <si>
    <t>NRCan official fuel consumption &amp; CO₂; plus formula-derived demand/price estimates</t>
  </si>
  <si>
    <t>二、表头结构（6个颜色区块）  /  2. Column Groups (6 color bands)</t>
  </si>
  <si>
    <t>区块颜色</t>
  </si>
  <si>
    <t>Color</t>
  </si>
  <si>
    <t>字段数</t>
  </si>
  <si>
    <t>Fields</t>
  </si>
  <si>
    <t>说明</t>
  </si>
  <si>
    <t>Description</t>
  </si>
  <si>
    <t>深灰 Dark Gray</t>
  </si>
  <si>
    <t>Identifiers</t>
  </si>
  <si>
    <t>5</t>
  </si>
  <si>
    <t>字段 / fields</t>
  </si>
  <si>
    <t>车型名称、品牌、匹配状态、数据源数量　Model name, brand, match status, source count</t>
  </si>
  <si>
    <t>深绿 Dark Green</t>
  </si>
  <si>
    <t>Canada Sales (T2)</t>
  </si>
  <si>
    <t>4</t>
  </si>
  <si>
    <t>2026年1-2月销量、品牌总量、占比　Jan–Feb 2026 sales, brand total, share %</t>
  </si>
  <si>
    <t>深蓝 Dark Blue</t>
  </si>
  <si>
    <t>CO₂ &amp; Fuel Consumption (T3)</t>
  </si>
  <si>
    <t>14</t>
  </si>
  <si>
    <t>实测油耗、CO₂、同级均值　Actual FC, CO₂, class-level averages</t>
  </si>
  <si>
    <t>更深蓝 Darker Blue</t>
  </si>
  <si>
    <t>Demand Estimates (T3 derived)</t>
  </si>
  <si>
    <t>7</t>
  </si>
  <si>
    <t>⚠ 公式推算，非真实销量，请谨慎使用　⚠ Formula estimates only — NOT real sales data</t>
  </si>
  <si>
    <t>最深蓝 Deepest Blue</t>
  </si>
  <si>
    <t>Reference &amp; Price (T3 derived)</t>
  </si>
  <si>
    <t>8</t>
  </si>
  <si>
    <t>品牌基准价、价格代理、溯源ID、链接　Brand benchmark price, price proxy, ref IDs, source URLs</t>
  </si>
  <si>
    <t>深紫 Dark Purple</t>
  </si>
  <si>
    <t>China Specs — Dongchedi (T1)</t>
  </si>
  <si>
    <t>22</t>
  </si>
  <si>
    <t>动力、性能、尺寸、底盘、安全（最大值聚合）　Powertrain, performance, dimensions, chassis, safety (max aggregated)</t>
  </si>
  <si>
    <t>三、数据聚合规则  /  3. Aggregation Rules</t>
  </si>
  <si>
    <t>字段类型</t>
  </si>
  <si>
    <t>Field Type</t>
  </si>
  <si>
    <t>聚合方式</t>
  </si>
  <si>
    <t>Method</t>
  </si>
  <si>
    <t>销量（T2）</t>
  </si>
  <si>
    <t>Sales (T2)</t>
  </si>
  <si>
    <t>叠加求和</t>
  </si>
  <si>
    <t>Summed</t>
  </si>
  <si>
    <t>同一车型下多个配置的销量合计（如RAV4各版本总和）　　Sum across all trims of the same model (e.g. all RAV4 variants)</t>
  </si>
  <si>
    <t>数值字段</t>
  </si>
  <si>
    <t>Numeric fields</t>
  </si>
  <si>
    <t>取最大值</t>
  </si>
  <si>
    <t>Max value</t>
  </si>
  <si>
    <t>油耗、CO₂、马力、尺寸等取各版本中的最大值　　Fuel consumption, CO₂, horsepower, dimensions — max across all variants</t>
  </si>
  <si>
    <t>文本字段</t>
  </si>
  <si>
    <t>Text fields</t>
  </si>
  <si>
    <t>取合集</t>
  </si>
  <si>
    <t>Union</t>
  </si>
  <si>
    <t>变速箱、悬架等列出所有出现过的类型，用 / 分隔　　Transmission, suspension etc. — all unique values joined by ' / '</t>
  </si>
  <si>
    <t>上市时间</t>
  </si>
  <si>
    <t>Launch Date</t>
  </si>
  <si>
    <t>取最早</t>
  </si>
  <si>
    <t>Earliest</t>
  </si>
  <si>
    <t>该车系最早上市的时间　　Earliest launch date found across all variants</t>
  </si>
  <si>
    <t>同级均值</t>
  </si>
  <si>
    <t>Class averages</t>
  </si>
  <si>
    <t>按车辆级别</t>
  </si>
  <si>
    <t>By vehicle class</t>
  </si>
  <si>
    <t>Class_Avg_* 字段是T3数据库中同一Vehicle Class的均值，非本车型数据　　Class_Avg_* fields reflect the average for that Vehicle Class in T3, not this specific model</t>
  </si>
  <si>
    <t>四、匹配状态说明（行颜色含义）  /  4. Match Status — Row Color Meaning</t>
  </si>
  <si>
    <t>状态</t>
  </si>
  <si>
    <t>Status</t>
  </si>
  <si>
    <t>行颜色</t>
  </si>
  <si>
    <t>Row Color</t>
  </si>
  <si>
    <t>含义</t>
  </si>
  <si>
    <t>Meaning</t>
  </si>
  <si>
    <t>三表全中</t>
  </si>
  <si>
    <t>All 3 sources</t>
  </si>
  <si>
    <t>浅绿 / Light Green</t>
  </si>
  <si>
    <t>T1懂车帝 + T2销量 + T3 CO₂ 均有数据　Data from all three sources</t>
  </si>
  <si>
    <t>销量+CO₂</t>
  </si>
  <si>
    <t>Sales + CO₂</t>
  </si>
  <si>
    <t>浅蓝 / Light Blue</t>
  </si>
  <si>
    <t>有加拿大销量和CO₂数据，无中国规格　CA sales &amp; CO₂ present; no China specs</t>
  </si>
  <si>
    <t>规格+CO₂</t>
  </si>
  <si>
    <t>Specs + CO₂</t>
  </si>
  <si>
    <t>更浅蓝 / Pale Blue</t>
  </si>
  <si>
    <t>有懂车帝规格和CO₂数据，无加拿大销量　China specs &amp; CO₂; no CA sales</t>
  </si>
  <si>
    <t>规格+销量</t>
  </si>
  <si>
    <t>Specs + Sales</t>
  </si>
  <si>
    <t>浅黄 / Light Yellow</t>
  </si>
  <si>
    <t>有懂车帝规格和加拿大销量，无CO₂　China specs &amp; CA sales; no CO₂</t>
  </si>
  <si>
    <t>仅CO₂数据</t>
  </si>
  <si>
    <t>CO₂ only</t>
  </si>
  <si>
    <t>极浅蓝 / Very Pale</t>
  </si>
  <si>
    <t>仅有CO₂排放数据，无销量无规格　CO₂ data only; no sales, no specs</t>
  </si>
  <si>
    <t>仅销量数据</t>
  </si>
  <si>
    <t>Sales only</t>
  </si>
  <si>
    <t>极浅绿 / Very Pale</t>
  </si>
  <si>
    <t>仅有加拿大销量，无CO₂无规格　CA sales only; no CO₂, no specs</t>
  </si>
  <si>
    <t>五、重要注意事项  /  5. Important Notes</t>
  </si>
  <si>
    <t>⚠ 需求/收入估算字段非真实数据</t>
  </si>
  <si>
    <t>⚠ Demand/Revenue fields are estimates, NOT real data</t>
  </si>
  <si>
    <t>Demand_Target_Units、Revenue_Target_CAD 等字段由公式推算（加拿大总销量×品牌占比×修正系数），与真实市场表现差距可能极大，请仅作参考。
Demand_Target_Units, Revenue_Target_CAD etc. are formula-derived (Canada total × brand share × modifier). They may differ significantly from actual sales. Use for reference only.</t>
  </si>
  <si>
    <t>⚠ T1数据为中国市场规格</t>
  </si>
  <si>
    <t>⚠ T1 specs reflect China-market vehicles</t>
  </si>
  <si>
    <t>懂车帝数据来自中国市场，部分车型（如PILOT、FORESTER）在中国未销售，因此T1字段为空。有数据的车型其规格也可能与加拿大版本存在差异。
Dongchedi data covers China-market vehicles. Some models (e.g. PILOT, FORESTER) are not sold in China, so T1 fields are blank. Even where data exists, specs may differ from Canadian variants.</t>
  </si>
  <si>
    <t>ℹ 数值字段均取最大值聚合</t>
  </si>
  <si>
    <t>ℹ Numeric fields are aggregated as maximum</t>
  </si>
  <si>
    <t>同一车型多个版本合并后，数值取各版本最大值。这意味着马力、尺寸等字段反映的是该车系的顶配参数，而非均值或基础版参数。
When multiple trims are merged, numeric values reflect the maximum across all variants — i.e. top-spec figures, not average or base trim.</t>
  </si>
  <si>
    <t>ℹ 销量为2026年1-2月两个月合计</t>
  </si>
  <si>
    <t>ℹ Sales figures cover January–February 2026 only</t>
  </si>
  <si>
    <t>CA Sales字段为2026年1月和2月的合计销量，不代表年度水平。如需年度对比请参考canada_brand_sales.xlsx中的历史数据。
CA Sales covers only Jan–Feb 2026. For annual comparisons, refer to the historical data in canada_brand_sales.xlsx.</t>
  </si>
  <si>
    <t>六、完整字段中英对照  /  6. Full Column Bilingual Reference</t>
  </si>
  <si>
    <t>英文字段名 / English</t>
  </si>
  <si>
    <t>中文字段名 / 中文</t>
  </si>
  <si>
    <t>数据组 / Group</t>
  </si>
  <si>
    <t>聚合方式 / Agg.</t>
  </si>
  <si>
    <t>数据来源 / Source</t>
  </si>
  <si>
    <t>识别</t>
  </si>
  <si>
    <t>—</t>
  </si>
  <si>
    <t>加拿大销量</t>
  </si>
  <si>
    <t>叠加/Sum</t>
  </si>
  <si>
    <t>T2</t>
  </si>
  <si>
    <t>CO₂油耗</t>
  </si>
  <si>
    <t>最大值/Max</t>
  </si>
  <si>
    <t>T3</t>
  </si>
  <si>
    <t>需求估算</t>
  </si>
  <si>
    <t>T3推算</t>
  </si>
  <si>
    <t>参考价格</t>
  </si>
  <si>
    <t>懂车帝规格</t>
  </si>
  <si>
    <t>T1</t>
  </si>
  <si>
    <t>SUV主表缺失属性补全依据 / Missing Attribute Fill Log</t>
  </si>
  <si>
    <t>Method:</t>
  </si>
  <si>
    <t>1) Followed the workbook README rule: numeric fields use family maximum, text fields use union, launch date uses earliest family introduction. 2) Preferred current official manufacturer spec pages; if a nameplate is discontinued or unavailable in China, used the latest sold generation / global equivalent. 3) Thermal efficiency, some 0-100 km/h figures, some WLTC values, and some cargo values are inferred or normalized from the engine family / road tests / nearest official cargo figure; these are flagged in 'Inferred / Estimated Fields'.</t>
  </si>
  <si>
    <t>Important:</t>
  </si>
  <si>
    <t>This sheet explains how each blank cell was filled. Primary source URLs are plain-text so the workbook remains portable. Confidence = High when current official specs directly covered the field set; Medium when some fields required last-sold generation or reasoned inference.</t>
  </si>
  <si>
    <t>Row</t>
  </si>
  <si>
    <t>Filled Cells</t>
  </si>
  <si>
    <t>Filled Fields</t>
  </si>
  <si>
    <t>Primary Source URL</t>
  </si>
  <si>
    <t>Secondary Source URL</t>
  </si>
  <si>
    <t>Basis / Justification</t>
  </si>
  <si>
    <t>Confidence</t>
  </si>
  <si>
    <t>Inferred / Estimated Fields</t>
  </si>
  <si>
    <t>动力类型 | 排量（升，最大） | 进气方式 | 最大马力 PS（最大） | 最大扭矩 Nm（最大） | 0-100加速 s（最优） | 最高速度 km/h（最大） | 变速箱（中国） | 驱动方式 | WLTC综合油耗 L/100km | 燃料类型（中国） | 热效率 %（最大） | 车身长度 mm（最大） | 车身宽度 mm（最大） | 车身高度 mm（最大） | 轴距 mm（最大） | 座位数（最大） | 后备箱容积 L（最大） | 整备质量 kg（最大） | 前悬架类型 | 后悬架类型 | 转向系统 | 自动紧急制动 | 车身稳定控制 | 最早上市时间 | 合并自（懂车帝来源）</t>
  </si>
  <si>
    <t>https://acuranews.com/en-US/releases/release-7ce6a5f7123225a8a75c24e1fb02396b-2025-acura-mdx-specifications-features</t>
  </si>
  <si>
    <t>https://www.acura.com/suvs/mdx</t>
  </si>
  <si>
    <t>Current MDX family; max columns use Type S where higher, text columns union FWD/AWD where applicable.</t>
  </si>
  <si>
    <t>High</t>
  </si>
  <si>
    <t>0-100加速 s（最优） | WLTC综合油耗 L/100km | 热效率 %（最大） | 后备箱容积 L（最大）</t>
  </si>
  <si>
    <t>https://acuranews.com/en-US/releases/release-cc39196e84787a20ec3cb086fb026dd8-2024-acura-rdx-specs-features</t>
  </si>
  <si>
    <t>https://www.acura.com/suvs/2026/rdx/features</t>
  </si>
  <si>
    <t>Current RDX family; 0-100 and cargo use road-test/manufacturer family maximum.</t>
  </si>
  <si>
    <t>0-100加速 s（最优） | 热效率 %（最大） | 后备箱容积 L（最大）</t>
  </si>
  <si>
    <t>https://hondanews.com/en-US/releases/2023-honda-hr-v-specifications-and-features</t>
  </si>
  <si>
    <t>https://en.wikipedia.org/wiki/Honda_HR-V</t>
  </si>
  <si>
    <t>Backfilled only missing fields; thermal efficiency inferred from e:HEV family; cargo uses current-generation boot volume.</t>
  </si>
  <si>
    <t>Medium</t>
  </si>
  <si>
    <t>https://hondanews.com/en-US/honda-automobiles/releases/release-23f31490f1d4a2c6ce015fc1f108bf72-2026-honda-passport-specifications-features</t>
  </si>
  <si>
    <t>https://automobiles.honda.com/passport/specs-features-trim-comparison</t>
  </si>
  <si>
    <t>Current Passport family; AWD-only current lineup used, 0-100 from period road tests.</t>
  </si>
  <si>
    <t>https://hondanews.com/en-US/honda-automobiles/releases/release-16f7afa1eda16f08561d54be9a01e83e-2025-honda-pilot-specifications-features</t>
  </si>
  <si>
    <t>https://automobiles.honda.com/pilot/specs-features-trim-comparison</t>
  </si>
  <si>
    <t>Current Pilot family; max numeric fields use largest/quickest trim, text fields union FWD/AWD.</t>
  </si>
  <si>
    <t>CROSSTOUR</t>
  </si>
  <si>
    <t>https://hondanews.com/en-US/releases/release-fd2bf0abca83441991ecd023c1e97c36-2014-honda-crosstour-specifications-and-features</t>
  </si>
  <si>
    <t>https://en.wikipedia.org/wiki/Honda_Crosstour</t>
  </si>
  <si>
    <t>Used last sold generation because current Dongchedi row was absent; launch date kept at original model-family intro.</t>
  </si>
  <si>
    <t>https://www.infinitiusa.com/vehicles/crossovers/qx50.html</t>
  </si>
  <si>
    <t>https://en.wikipedia.org/wiki/Infiniti_QX50</t>
  </si>
  <si>
    <t>Backfilled only missing fields; thermal efficiency inferred from VC-Turbo engine family.</t>
  </si>
  <si>
    <t>https://www.infinitiusa.com/vehicles/crossovers/qx60.html</t>
  </si>
  <si>
    <t>https://en.wikipedia.org/wiki/Infiniti_QX60</t>
  </si>
  <si>
    <t>https://www.infinitiusa.com/vehicles/suvs/qx80.html</t>
  </si>
  <si>
    <t>https://en.wikipedia.org/wiki/Infiniti_QX80</t>
  </si>
  <si>
    <t>Current-generation QX80 family; max columns use highest-output trim.</t>
  </si>
  <si>
    <t>QX70</t>
  </si>
  <si>
    <t>https://en.wikipedia.org/wiki/Infiniti_QX70</t>
  </si>
  <si>
    <t>https://www.auto-data.net/en/infiniti-fx-model-307</t>
  </si>
  <si>
    <t>Used last sold FX/QX70 family; max numeric fields follow README max-value rule across family variants.</t>
  </si>
  <si>
    <t>https://www.lexus.com/models/GX</t>
  </si>
  <si>
    <t>https://en.wikipedia.org/wiki/Lexus_GX</t>
  </si>
  <si>
    <t>Thermal efficiency inferred from current 2.4T hybrid/GA-F powertrain family.</t>
  </si>
  <si>
    <t>WLTC综合油耗 L/100km | 热效率 %（最大）</t>
  </si>
  <si>
    <t>https://www.lexus.com/models/LX</t>
  </si>
  <si>
    <t>https://en.wikipedia.org/wiki/Lexus_LX</t>
  </si>
  <si>
    <t>WLTC worst-case backfilled from current hybrid/full-size SUV family; thermal efficiency inferred from Toyota/Lexus hybrid turbo family.</t>
  </si>
  <si>
    <t>https://www.lexus.com/models/NX</t>
  </si>
  <si>
    <t>https://en.wikipedia.org/wiki/Lexus_NX</t>
  </si>
  <si>
    <t>Thermal efficiency inferred from Dynamic Force hybrid family.</t>
  </si>
  <si>
    <t>https://www.lexus.com/models/RX</t>
  </si>
  <si>
    <t>https://en.wikipedia.org/wiki/Lexus_RX</t>
  </si>
  <si>
    <t>https://www.mazdausa.com/vehicles/cx-30</t>
  </si>
  <si>
    <t>https://en.wikipedia.org/wiki/Mazda_CX-30</t>
  </si>
  <si>
    <t>Backfilled from current CX-30 family and Skyactiv-G engine data; thermal efficiency inferred.</t>
  </si>
  <si>
    <t>0-100加速 s（最优） | 热效率 %（最大）</t>
  </si>
  <si>
    <t>https://www.mazdausa.com/vehicles/cx-5</t>
  </si>
  <si>
    <t>https://en.wikipedia.org/wiki/Mazda_CX-5</t>
  </si>
  <si>
    <t>Backfilled from current CX-5 family and Skyactiv-G engine data; thermal efficiency inferred.</t>
  </si>
  <si>
    <t>CX-9</t>
  </si>
  <si>
    <t>WLTC综合油耗 L/100km | 热效率 %（最大） | 后备箱容积 L（最大） | 自动紧急制动</t>
  </si>
  <si>
    <t>https://www.mazda.ca/en/vehicles/cx-9/specifications/</t>
  </si>
  <si>
    <t>https://en.wikipedia.org/wiki/Mazda_CX-9</t>
  </si>
  <si>
    <t>Backfilled from last sold CX-9 family; cargo uses seats-folded maximum, thermal efficiency inferred from turbo Skyactiv-G.</t>
  </si>
  <si>
    <t>WLTC综合油耗 L/100km | 热效率 %（最大） | 后备箱容积 L（最大）</t>
  </si>
  <si>
    <t>https://www.mitsubishicars.com/cars-and-suvs/eclipse-cross/specs</t>
  </si>
  <si>
    <t>https://www.mitsubishi-motors.ca/en/vehicles/eclipse-cross/specs</t>
  </si>
  <si>
    <t>Current North American Eclipse Cross family; cargo uses max seats-folded figure.</t>
  </si>
  <si>
    <t>https://www.mitsubishicars.com/cars-and-suvs/outlander/specs</t>
  </si>
  <si>
    <t>https://media.mitsubishicars.com/en-US/releases/release-bf1c47b5dc044dcef218aad803046d05-2025-mitsubishi-outlander-technical-specifications</t>
  </si>
  <si>
    <t>Unioned current petrol and PHEV family; max columns use PHEV where higher, WLTC uses worst-case family consumption.</t>
  </si>
  <si>
    <t>RVR</t>
  </si>
  <si>
    <t>https://www.mitsubishi-motors.ca/en/vehicles/rvr</t>
  </si>
  <si>
    <t>https://www.mitsubishi-motors-pr.ca/wp-content/uploads/2025/03/MY25_RVR_Features_Specs_EN.pdf</t>
  </si>
  <si>
    <t>Current Canada RVR family; rear suspension and safety text unioned where trim differences exist.</t>
  </si>
  <si>
    <t>https://www.nissanusa.com/vehicles/crossovers-suvs/armada/specs-trims.html</t>
  </si>
  <si>
    <t>https://www.nissanusa.com/vehicles/crossovers-suvs/armada.html</t>
  </si>
  <si>
    <t>Current Armada family; dimensions and powertrain from official Nissan specs.</t>
  </si>
  <si>
    <t>https://www.nissanusa.com/vehicles/crossovers-suvs/kicks.html</t>
  </si>
  <si>
    <t>https://en.wikipedia.org/wiki/Nissan_Kicks</t>
  </si>
  <si>
    <t>Current Kicks family; rear suspension and drivetrain text unioned for FWD/AWD lineup.</t>
  </si>
  <si>
    <t>https://usa.nissannews.com/en-US/releases/2025-nissan-murano-specifications</t>
  </si>
  <si>
    <t>https://www.nissanusa.com/vehicles/crossovers-suvs/murano/specs-trims.html</t>
  </si>
  <si>
    <t>Current Murano family; all numeric fields aligned to official 2025/2026 specs and family maxima.</t>
  </si>
  <si>
    <t>https://www.nissanusa.com/vehicles/crossovers-suvs/pathfinder/specs-trims.html</t>
  </si>
  <si>
    <t>https://www.caranddriver.com/nissan/pathfinder</t>
  </si>
  <si>
    <t>Current Pathfinder family; max power uses Rock Creek specification, 0-100 from road tests.</t>
  </si>
  <si>
    <t>https://www.nissanusa.com/vehicles/crossovers-suvs/rogue/specs-trims.html</t>
  </si>
  <si>
    <t>https://en.wikipedia.org/wiki/Nissan_Rogue</t>
  </si>
  <si>
    <t>Current Rogue family; used regular 1.5 VC-Turbo lineup rather than unreleased PHEV for consistency with on-sale vehicles.</t>
  </si>
  <si>
    <t>https://www.carwow.co.uk/nissan/juke/specifications</t>
  </si>
  <si>
    <t>https://en.wikipedia.org/wiki/Nissan_Juke</t>
  </si>
  <si>
    <t>Used family-wide max rule from README: NISMO RS/upper trims for max power and best acceleration; current dimensions retained.</t>
  </si>
  <si>
    <t>https://en.nissan.com.hk/vehicles/new/qashqai/specifications.html</t>
  </si>
  <si>
    <t>https://en.wikipedia.org/wiki/Nissan_Qashqai</t>
  </si>
  <si>
    <t>Current global Qashqai family; e-Power used for max torque, WLTC uses worst-case family value.</t>
  </si>
  <si>
    <t>https://en.wikipedia.org/wiki/Nissan_Xterra</t>
  </si>
  <si>
    <t>https://www.auto-data.net/en/nissan-xterra-generation-992</t>
  </si>
  <si>
    <t>Used last sold North American Xterra family because this nameplate is no longer sold in Canada; max-value rule applied to late V6 trims.</t>
  </si>
  <si>
    <t>https://www.subaru.com/vehicles/ascent/2026/specs-trim.html</t>
  </si>
  <si>
    <t>https://www.caranddriver.com/subaru/ascent</t>
  </si>
  <si>
    <t>Current Ascent family; 0-100 and cargo use road-test/manufacturer max values.</t>
  </si>
  <si>
    <t>https://www.subaru.com/vehicles/forester.html</t>
  </si>
  <si>
    <t>https://subaru.co.uk/overview/forester</t>
  </si>
  <si>
    <t>Current Forester family; hybrid included in text fields, gas model used for current North American max measured figures.</t>
  </si>
  <si>
    <t>https://www.subaru.com/vehicles/outback/2026/specs-trim.html</t>
  </si>
  <si>
    <t>https://www.tomwoodsubaru.com/subaru-outback-specs.htm</t>
  </si>
  <si>
    <t>Current Outback family; XT/wilderness figures used where they set maxima.</t>
  </si>
  <si>
    <t>https://www.subaru.com/vehicles/crosstrek/2026/specs-trim.html</t>
  </si>
  <si>
    <t>https://www.caranddriver.com/news/a65467198/2026-subaru-crosstrek-engine-changes/</t>
  </si>
  <si>
    <t>Current Crosstrek family; hybrid included for max horsepower, gas figures retained where torque is published consistently.</t>
  </si>
  <si>
    <t>https://www.auto-data.net/en/subaru-tribeca-model-1837</t>
  </si>
  <si>
    <t>https://www.ultimatespecs.com/car-specs/Subaru/M400/Tribeca</t>
  </si>
  <si>
    <t>Used last sold Tribeca family; old-model safety and steering retained from period specs.</t>
  </si>
  <si>
    <t>https://www.toyota.ca/en/vehicles/4runner/models-specifications/</t>
  </si>
  <si>
    <t>https://en.wikipedia.org/wiki/Toyota_4Runner</t>
  </si>
  <si>
    <t>Current 4Runner family; i-FORCE MAX used for max power/torque, worst-case WLTC retained for gas trims.</t>
  </si>
  <si>
    <t>https://media.toyota.co.uk/wp-content/uploads/sites/5/pdf/210321M-Highlander-Tech-Spec.pdf</t>
  </si>
  <si>
    <t>https://en.wikipedia.org/wiki/Toyota_Highlander</t>
  </si>
  <si>
    <t>Current Highlander family; hybrid and petrol text fields unioned, torque uses higher current turbo-family figure.</t>
  </si>
  <si>
    <t>https://www.toyota.com/rav4/</t>
  </si>
  <si>
    <t>https://en.wikipedia.org/wiki/Toyota_RAV4</t>
  </si>
  <si>
    <t>Family-wide max rule: RAV4 Prime/PHEV used for power and acceleration maxima; worst-case WLTC from petrol trims.</t>
  </si>
  <si>
    <t>https://www.toyota.com/sequoia/</t>
  </si>
  <si>
    <t>https://en.wikipedia.org/wiki/Toyota_Sequoia</t>
  </si>
  <si>
    <t>Current Sequoia family; hybrid-only current lineup used throughout.</t>
  </si>
  <si>
    <t>https://www.auto-data.net/en/toyota-fj-cruiser-generation-993</t>
  </si>
  <si>
    <t>https://en.wikipedia.org/wiki/Toyota_FJ_Cruiser</t>
  </si>
  <si>
    <t>Used last sold FJ Cruiser family; old-model steering/safety retained from period specs.</t>
  </si>
  <si>
    <t>https://www.toyota.com/venza/</t>
  </si>
  <si>
    <t>https://en.wikipedia.org/wiki/Toyota_Venza</t>
  </si>
  <si>
    <t>Current Venza/Harrier family; hybrid output used for max horsepower, petrol family retained in text fields.</t>
  </si>
  <si>
    <t>New row added</t>
  </si>
  <si>
    <t>CA Sales 2026 Jan–Feb; CA Brand Total; CA Sales Share; Merged From (T2); China spec fields; Merged From (T1)</t>
  </si>
  <si>
    <t>/mnt/data/canada_brand_sales.xlsx</t>
  </si>
  <si>
    <t>/mnt/data/懂车帝_CoreSpecs_EN.csv</t>
  </si>
  <si>
    <t>Added missing sales SUV from T2. Vehicle class/default demand/price filled from existing TOYOTA peer rows; status ✓ T1+T2.</t>
  </si>
  <si>
    <t>Demand/price proxy fields; any blank T1/T3 fields remain unavailable from source files.</t>
  </si>
  <si>
    <t>CA Sales 2026 Jan–Feb; CA Brand Total; CA Sales Share; Merged From (T2)</t>
  </si>
  <si>
    <t>Added missing sales SUV from T2. Vehicle class/default demand/price filled from existing TOYOTA peer rows; status ○ T2 only.</t>
  </si>
  <si>
    <t>Added missing sales SUV from T2. Vehicle class/default demand/price filled from existing HONDA peer rows; status ✓ T1+T2.</t>
  </si>
  <si>
    <t>Sales mapping update</t>
  </si>
  <si>
    <t>Filled CA Sales / Brand Total / Share / Merged From (T2)</t>
  </si>
  <si>
    <t>Mapped Subaru XV sales into existing CROSSTREK row; kept T3 mapping from XV CROSSTREK AWD entries.</t>
  </si>
  <si>
    <t>CA Sales only</t>
  </si>
  <si>
    <t>Added missing sales SUV from T2. Vehicle class/default demand/price filled from existing SUBARU peer rows; status ○ T2 only.</t>
  </si>
  <si>
    <t>Added missing sales SUV from T2. Vehicle class/default demand/price filled from existing MAZDA peer rows; status ✓ T1+T2.</t>
  </si>
  <si>
    <t>Added missing sales SUV from T2. Vehicle class/default demand/price filled from existing NISSAN peer rows; status ○ T2 only.</t>
  </si>
  <si>
    <t>Added missing sales SUV from T2. Vehicle class/default demand/price filled from existing LEXUS peer rows; status ✓ T1+T2.</t>
  </si>
  <si>
    <t>CA Sales 2026 Jan–Feb; CA Brand Total; CA Sales Share; Merged From (T2); Vehicle Class; CA fuel/CO₂ fields; Class averages; Merged From (T3); China spec fields; Merged From (T1)</t>
  </si>
  <si>
    <t>/mnt/data/CO2_Emissions_Canada_japan_manufacturers.xlsx</t>
  </si>
  <si>
    <t>Added missing sales SUV from T2. Vehicle class/default demand/price filled from existing LEXUS peer rows; status ✓ All 3.</t>
  </si>
  <si>
    <t>CA Sales 2026 Jan–Feb; CA Brand Total; CA Sales Share; Merged From (T2); Vehicle Class; CA fuel/CO₂ fields; Class averages; Merged From (T3)</t>
  </si>
  <si>
    <t>Added missing sales SUV from T2. Vehicle class/default demand/price filled from existing MITSUBISHI peer rows; status ✓ T2+T3.</t>
  </si>
  <si>
    <t>Added missing sales SUV from T2. Vehicle class/default demand/price filled from existing ACURA peer rows; status ✓ T1+T2.</t>
  </si>
  <si>
    <t>Added missing sales SUV from T2. Vehicle class/default demand/price filled from existing ACURA peer rows; status ○ T2 only.</t>
  </si>
  <si>
    <t>Added missing sales SUV from T2. Vehicle class/default demand/price filled from existing INFINITI peer rows; status ✓ T1+T2.</t>
  </si>
  <si>
    <t>Subcompact SUV</t>
  </si>
  <si>
    <t>Mid-size SUV</t>
  </si>
  <si>
    <t>Compact SUV</t>
  </si>
  <si>
    <t>Full-size SUV</t>
  </si>
  <si>
    <t>Mid-size SUV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</si>
</sst>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-&quot;NT$&quot;* #,##0.00_-;\-&quot;NT$&quot;* #,##0.00_-;_-&quot;NT$&quot;* &quot;-&quot;??_-;_-@_-"/>
    <numFmt numFmtId="167" formatCode="_-&quot;NT$&quot;* #,##0_-;\-&quot;NT$&quot;* #,##0_-;_-&quot;NT$&quot;* &quot;-&quot;_-;_-@_-"/>
  </numFmts>
  <fonts count="50">
    <font>
      <sz val="11"/>
      <color theme="1"/>
      <name val="Calibri"/>
    </font>
    <font>
      <b/>
      <sz val="14"/>
      <color rgb="FFFFFFFF"/>
      <name val="Noto Sans CJK SC"/>
    </font>
    <font>
      <sz val="9"/>
      <color rgb="FF888888"/>
      <name val="Noto Sans CJK SC"/>
    </font>
    <font>
      <b/>
      <sz val="11"/>
      <color rgb="FFFFFFFF"/>
      <name val="Noto Sans CJK SC"/>
    </font>
    <font>
      <b/>
      <sz val="9"/>
      <color rgb="FF000000"/>
      <name val="Noto Sans CJK SC"/>
    </font>
    <font>
      <b/>
      <sz val="9"/>
      <color rgb="FF000000"/>
      <name val="Arial"/>
      <family val="2"/>
    </font>
    <font>
      <b/>
      <sz val="9"/>
      <color rgb="FF1A5276"/>
      <name val="Arial"/>
      <family val="2"/>
    </font>
    <font>
      <sz val="9"/>
      <color rgb="FF000000"/>
      <name val="Noto Sans CJK SC"/>
    </font>
    <font>
      <sz val="9"/>
      <color rgb="FF000000"/>
      <name val="Arial"/>
      <family val="2"/>
    </font>
    <font>
      <b/>
      <sz val="9"/>
      <color rgb="FFFFFFFF"/>
      <name val="Noto Sans CJK SC"/>
    </font>
    <font>
      <sz val="8"/>
      <color rgb="FF888888"/>
      <name val="Noto Sans CJK SC"/>
    </font>
    <font>
      <sz val="9"/>
      <color rgb="FF1A5276"/>
      <name val="Noto Sans CJK SC"/>
    </font>
    <font>
      <sz val="9"/>
      <color rgb="FF1A5276"/>
      <name val="Arial"/>
      <family val="2"/>
    </font>
    <font>
      <b/>
      <sz val="9"/>
      <color rgb="FF1C2833"/>
      <name val="Arial"/>
      <family val="2"/>
    </font>
    <font>
      <sz val="9"/>
      <name val="Noto Sans CJK SC"/>
    </font>
    <font>
      <b/>
      <sz val="10"/>
      <color rgb="FF922B21"/>
      <name val="Noto Sans CJK SC"/>
    </font>
    <font>
      <b/>
      <sz val="10"/>
      <color rgb="FFC0392B"/>
      <name val="Arial"/>
      <family val="2"/>
    </font>
    <font>
      <sz val="9"/>
      <color rgb="FF444444"/>
      <name val="Arial"/>
      <family val="2"/>
    </font>
    <font>
      <b/>
      <sz val="10"/>
      <color rgb="FF922B21"/>
      <name val="Arial"/>
      <family val="2"/>
    </font>
    <font>
      <sz val="9"/>
      <color rgb="FF444444"/>
      <name val="Noto Sans CJK SC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</font>
    <font>
      <sz val="10"/>
      <name val="Arial"/>
      <family val="2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9"/>
      <name val="Wawati TC"/>
      <family val="3"/>
      <charset val="136"/>
    </font>
  </fonts>
  <fills count="58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2C3E50"/>
      </patternFill>
    </fill>
    <fill>
      <patternFill patternType="solid">
        <fgColor rgb="FFEAECEE"/>
      </patternFill>
    </fill>
    <fill>
      <patternFill patternType="solid">
        <fgColor rgb="FF1F6B4E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0E3251"/>
      </patternFill>
    </fill>
    <fill>
      <patternFill patternType="solid">
        <fgColor rgb="FF6E2F89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EAF2FF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922B21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3D566E"/>
      </patternFill>
    </fill>
    <fill>
      <patternFill patternType="solid">
        <fgColor rgb="FF2E7D52"/>
      </patternFill>
    </fill>
    <fill>
      <patternFill patternType="solid">
        <fgColor rgb="FF2471A3"/>
      </patternFill>
    </fill>
    <fill>
      <patternFill patternType="solid">
        <fgColor rgb="FF1F618D"/>
      </patternFill>
    </fill>
    <fill>
      <patternFill patternType="solid">
        <fgColor rgb="FF8E44AD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2370372631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BFBFBF"/>
      </bottom>
      <diagonal/>
    </border>
  </borders>
  <cellStyleXfs count="51">
    <xf numFmtId="0" fontId="0" fillId="0" borderId="0"/>
    <xf numFmtId="165" fontId="24" fillId="0" borderId="0"/>
    <xf numFmtId="166" fontId="24" fillId="0" borderId="0"/>
    <xf numFmtId="9" fontId="24" fillId="0" borderId="0"/>
    <xf numFmtId="164" fontId="24" fillId="0" borderId="0"/>
    <xf numFmtId="167" fontId="24" fillId="0" borderId="0"/>
    <xf numFmtId="0" fontId="25" fillId="0" borderId="0">
      <alignment vertical="center"/>
    </xf>
    <xf numFmtId="0" fontId="26" fillId="0" borderId="0">
      <alignment vertical="center"/>
    </xf>
    <xf numFmtId="0" fontId="27" fillId="24" borderId="3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4">
      <alignment vertical="center"/>
    </xf>
    <xf numFmtId="0" fontId="32" fillId="0" borderId="4">
      <alignment vertical="center"/>
    </xf>
    <xf numFmtId="0" fontId="33" fillId="0" borderId="5">
      <alignment vertical="center"/>
    </xf>
    <xf numFmtId="0" fontId="33" fillId="0" borderId="0">
      <alignment vertical="center"/>
    </xf>
    <xf numFmtId="0" fontId="34" fillId="25" borderId="6">
      <alignment vertical="center"/>
    </xf>
    <xf numFmtId="0" fontId="35" fillId="55" borderId="7">
      <alignment vertical="center"/>
    </xf>
    <xf numFmtId="0" fontId="36" fillId="55" borderId="6">
      <alignment vertical="center"/>
    </xf>
    <xf numFmtId="0" fontId="37" fillId="26" borderId="8">
      <alignment vertical="center"/>
    </xf>
    <xf numFmtId="0" fontId="38" fillId="0" borderId="9">
      <alignment vertical="center"/>
    </xf>
    <xf numFmtId="0" fontId="39" fillId="0" borderId="10">
      <alignment vertical="center"/>
    </xf>
    <xf numFmtId="0" fontId="40" fillId="27" borderId="0">
      <alignment vertical="center"/>
    </xf>
    <xf numFmtId="0" fontId="41" fillId="28" borderId="0">
      <alignment vertical="center"/>
    </xf>
    <xf numFmtId="0" fontId="42" fillId="29" borderId="0">
      <alignment vertical="center"/>
    </xf>
    <xf numFmtId="0" fontId="43" fillId="30" borderId="0">
      <alignment vertical="center"/>
    </xf>
    <xf numFmtId="0" fontId="44" fillId="31" borderId="0">
      <alignment vertical="center"/>
    </xf>
    <xf numFmtId="0" fontId="44" fillId="32" borderId="0">
      <alignment vertical="center"/>
    </xf>
    <xf numFmtId="0" fontId="43" fillId="33" borderId="0">
      <alignment vertical="center"/>
    </xf>
    <xf numFmtId="0" fontId="43" fillId="34" borderId="0">
      <alignment vertical="center"/>
    </xf>
    <xf numFmtId="0" fontId="44" fillId="35" borderId="0">
      <alignment vertical="center"/>
    </xf>
    <xf numFmtId="0" fontId="44" fillId="36" borderId="0">
      <alignment vertical="center"/>
    </xf>
    <xf numFmtId="0" fontId="43" fillId="37" borderId="0">
      <alignment vertical="center"/>
    </xf>
    <xf numFmtId="0" fontId="43" fillId="38" borderId="0">
      <alignment vertical="center"/>
    </xf>
    <xf numFmtId="0" fontId="44" fillId="39" borderId="0">
      <alignment vertical="center"/>
    </xf>
    <xf numFmtId="0" fontId="44" fillId="40" borderId="0">
      <alignment vertical="center"/>
    </xf>
    <xf numFmtId="0" fontId="43" fillId="41" borderId="0">
      <alignment vertical="center"/>
    </xf>
    <xf numFmtId="0" fontId="43" fillId="42" borderId="0">
      <alignment vertical="center"/>
    </xf>
    <xf numFmtId="0" fontId="44" fillId="43" borderId="0">
      <alignment vertical="center"/>
    </xf>
    <xf numFmtId="0" fontId="44" fillId="44" borderId="0">
      <alignment vertical="center"/>
    </xf>
    <xf numFmtId="0" fontId="43" fillId="45" borderId="0">
      <alignment vertical="center"/>
    </xf>
    <xf numFmtId="0" fontId="43" fillId="46" borderId="0">
      <alignment vertical="center"/>
    </xf>
    <xf numFmtId="0" fontId="44" fillId="47" borderId="0">
      <alignment vertical="center"/>
    </xf>
    <xf numFmtId="0" fontId="44" fillId="48" borderId="0">
      <alignment vertical="center"/>
    </xf>
    <xf numFmtId="0" fontId="43" fillId="49" borderId="0">
      <alignment vertical="center"/>
    </xf>
    <xf numFmtId="0" fontId="43" fillId="50" borderId="0">
      <alignment vertical="center"/>
    </xf>
    <xf numFmtId="0" fontId="44" fillId="51" borderId="0">
      <alignment vertical="center"/>
    </xf>
    <xf numFmtId="0" fontId="44" fillId="52" borderId="0">
      <alignment vertical="center"/>
    </xf>
    <xf numFmtId="0" fontId="43" fillId="53" borderId="0">
      <alignment vertical="center"/>
    </xf>
    <xf numFmtId="0" fontId="47" fillId="0" borderId="0"/>
    <xf numFmtId="0" fontId="48" fillId="0" borderId="0"/>
  </cellStyleXfs>
  <cellXfs count="75">
    <xf numFmtId="0" fontId="0" fillId="0" borderId="0" xfId="0"/>
    <xf numFmtId="0" fontId="4" fillId="4" borderId="0" xfId="49" applyFont="1" applyFill="1" applyAlignment="1">
      <alignment horizontal="left" vertical="center" wrapText="1"/>
    </xf>
    <xf numFmtId="0" fontId="5" fillId="4" borderId="0" xfId="49" applyFont="1" applyFill="1" applyAlignment="1">
      <alignment horizontal="left" vertical="center" wrapText="1"/>
    </xf>
    <xf numFmtId="0" fontId="6" fillId="0" borderId="0" xfId="49" applyFont="1" applyAlignment="1">
      <alignment horizontal="left" vertical="center" wrapText="1"/>
    </xf>
    <xf numFmtId="0" fontId="7" fillId="0" borderId="0" xfId="49" applyFont="1" applyAlignment="1">
      <alignment horizontal="left" vertical="center" wrapText="1"/>
    </xf>
    <xf numFmtId="0" fontId="8" fillId="0" borderId="0" xfId="49" applyFont="1" applyAlignment="1">
      <alignment horizontal="left" vertical="center" wrapText="1"/>
    </xf>
    <xf numFmtId="0" fontId="9" fillId="3" borderId="0" xfId="49" applyFont="1" applyFill="1" applyAlignment="1">
      <alignment horizontal="center" vertical="center"/>
    </xf>
    <xf numFmtId="0" fontId="5" fillId="0" borderId="0" xfId="49" applyFont="1" applyAlignment="1">
      <alignment horizontal="left" vertical="center" wrapText="1"/>
    </xf>
    <xf numFmtId="0" fontId="8" fillId="0" borderId="0" xfId="49" applyFont="1" applyAlignment="1">
      <alignment horizontal="center" vertical="center" wrapText="1"/>
    </xf>
    <xf numFmtId="0" fontId="10" fillId="0" borderId="0" xfId="49" applyFont="1" applyAlignment="1">
      <alignment horizontal="center" vertical="center" wrapText="1"/>
    </xf>
    <xf numFmtId="0" fontId="9" fillId="5" borderId="0" xfId="49" applyFont="1" applyFill="1" applyAlignment="1">
      <alignment horizontal="center" vertical="center"/>
    </xf>
    <xf numFmtId="0" fontId="9" fillId="6" borderId="0" xfId="49" applyFont="1" applyFill="1" applyAlignment="1">
      <alignment horizontal="center" vertical="center"/>
    </xf>
    <xf numFmtId="0" fontId="9" fillId="7" borderId="0" xfId="49" applyFont="1" applyFill="1" applyAlignment="1">
      <alignment horizontal="center" vertical="center"/>
    </xf>
    <xf numFmtId="0" fontId="9" fillId="8" borderId="0" xfId="49" applyFont="1" applyFill="1" applyAlignment="1">
      <alignment horizontal="center" vertical="center"/>
    </xf>
    <xf numFmtId="0" fontId="9" fillId="9" borderId="0" xfId="49" applyFont="1" applyFill="1" applyAlignment="1">
      <alignment horizontal="center" vertical="center"/>
    </xf>
    <xf numFmtId="0" fontId="4" fillId="0" borderId="0" xfId="49" applyFont="1" applyAlignment="1">
      <alignment horizontal="left" vertical="center" wrapText="1"/>
    </xf>
    <xf numFmtId="0" fontId="11" fillId="0" borderId="0" xfId="49" applyFont="1" applyAlignment="1">
      <alignment horizontal="center" vertical="center" wrapText="1"/>
    </xf>
    <xf numFmtId="0" fontId="12" fillId="0" borderId="0" xfId="49" applyFont="1" applyAlignment="1">
      <alignment horizontal="center" vertical="center" wrapText="1"/>
    </xf>
    <xf numFmtId="0" fontId="13" fillId="0" borderId="0" xfId="49" applyFont="1" applyAlignment="1">
      <alignment horizontal="left" vertical="center" wrapText="1"/>
    </xf>
    <xf numFmtId="0" fontId="14" fillId="10" borderId="0" xfId="49" applyFont="1" applyFill="1" applyAlignment="1">
      <alignment horizontal="center" vertical="center"/>
    </xf>
    <xf numFmtId="0" fontId="14" fillId="11" borderId="0" xfId="49" applyFont="1" applyFill="1" applyAlignment="1">
      <alignment horizontal="center" vertical="center"/>
    </xf>
    <xf numFmtId="0" fontId="14" fillId="12" borderId="0" xfId="49" applyFont="1" applyFill="1" applyAlignment="1">
      <alignment horizontal="center" vertical="center"/>
    </xf>
    <xf numFmtId="0" fontId="14" fillId="13" borderId="0" xfId="49" applyFont="1" applyFill="1" applyAlignment="1">
      <alignment horizontal="center" vertical="center"/>
    </xf>
    <xf numFmtId="0" fontId="14" fillId="14" borderId="0" xfId="49" applyFont="1" applyFill="1" applyAlignment="1">
      <alignment horizontal="center" vertical="center"/>
    </xf>
    <xf numFmtId="0" fontId="14" fillId="15" borderId="0" xfId="49" applyFont="1" applyFill="1" applyAlignment="1">
      <alignment horizontal="center" vertical="center"/>
    </xf>
    <xf numFmtId="0" fontId="8" fillId="17" borderId="0" xfId="49" applyFont="1" applyFill="1" applyAlignment="1">
      <alignment horizontal="left" vertical="center" wrapText="1"/>
    </xf>
    <xf numFmtId="0" fontId="7" fillId="17" borderId="0" xfId="49" applyFont="1" applyFill="1" applyAlignment="1">
      <alignment horizontal="left" vertical="center" wrapText="1"/>
    </xf>
    <xf numFmtId="0" fontId="8" fillId="17" borderId="0" xfId="49" applyFont="1" applyFill="1" applyAlignment="1">
      <alignment horizontal="center" vertical="center" wrapText="1"/>
    </xf>
    <xf numFmtId="0" fontId="8" fillId="18" borderId="0" xfId="49" applyFont="1" applyFill="1" applyAlignment="1">
      <alignment horizontal="left" vertical="center" wrapText="1"/>
    </xf>
    <xf numFmtId="0" fontId="7" fillId="18" borderId="0" xfId="49" applyFont="1" applyFill="1" applyAlignment="1">
      <alignment horizontal="left" vertical="center" wrapText="1"/>
    </xf>
    <xf numFmtId="0" fontId="8" fillId="18" borderId="0" xfId="49" applyFont="1" applyFill="1" applyAlignment="1">
      <alignment horizontal="center" vertical="center" wrapText="1"/>
    </xf>
    <xf numFmtId="0" fontId="7" fillId="18" borderId="0" xfId="49" applyFont="1" applyFill="1" applyAlignment="1">
      <alignment horizontal="center" vertical="center" wrapText="1"/>
    </xf>
    <xf numFmtId="0" fontId="7" fillId="17" borderId="0" xfId="49" applyFont="1" applyFill="1" applyAlignment="1">
      <alignment horizontal="center" vertical="center" wrapText="1"/>
    </xf>
    <xf numFmtId="0" fontId="20" fillId="6" borderId="0" xfId="49" applyFont="1" applyFill="1" applyAlignment="1">
      <alignment horizontal="center" vertical="center"/>
    </xf>
    <xf numFmtId="0" fontId="22" fillId="3" borderId="2" xfId="49" applyFont="1" applyFill="1" applyBorder="1" applyAlignment="1">
      <alignment horizontal="center" vertical="center" wrapText="1"/>
    </xf>
    <xf numFmtId="0" fontId="23" fillId="19" borderId="2" xfId="49" applyFont="1" applyFill="1" applyBorder="1" applyAlignment="1">
      <alignment horizontal="center" vertical="center" wrapText="1"/>
    </xf>
    <xf numFmtId="0" fontId="22" fillId="5" borderId="2" xfId="49" applyFont="1" applyFill="1" applyBorder="1" applyAlignment="1">
      <alignment horizontal="center" vertical="center" wrapText="1"/>
    </xf>
    <xf numFmtId="0" fontId="23" fillId="20" borderId="2" xfId="49" applyFont="1" applyFill="1" applyBorder="1" applyAlignment="1">
      <alignment horizontal="center" vertical="center" wrapText="1"/>
    </xf>
    <xf numFmtId="0" fontId="22" fillId="6" borderId="2" xfId="49" applyFont="1" applyFill="1" applyBorder="1" applyAlignment="1">
      <alignment horizontal="center" vertical="center" wrapText="1"/>
    </xf>
    <xf numFmtId="0" fontId="23" fillId="21" borderId="2" xfId="49" applyFont="1" applyFill="1" applyBorder="1" applyAlignment="1">
      <alignment horizontal="center" vertical="center" wrapText="1"/>
    </xf>
    <xf numFmtId="0" fontId="22" fillId="21" borderId="2" xfId="49" applyFont="1" applyFill="1" applyBorder="1" applyAlignment="1">
      <alignment horizontal="center" vertical="center" wrapText="1"/>
    </xf>
    <xf numFmtId="0" fontId="22" fillId="7" borderId="2" xfId="49" applyFont="1" applyFill="1" applyBorder="1" applyAlignment="1">
      <alignment horizontal="center" vertical="center" wrapText="1"/>
    </xf>
    <xf numFmtId="0" fontId="23" fillId="22" borderId="2" xfId="49" applyFont="1" applyFill="1" applyBorder="1" applyAlignment="1">
      <alignment horizontal="center" vertical="center" wrapText="1"/>
    </xf>
    <xf numFmtId="0" fontId="22" fillId="8" borderId="2" xfId="49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center" vertical="center" wrapText="1"/>
    </xf>
    <xf numFmtId="0" fontId="22" fillId="9" borderId="2" xfId="49" applyFont="1" applyFill="1" applyBorder="1" applyAlignment="1">
      <alignment horizontal="center" vertical="center" wrapText="1"/>
    </xf>
    <xf numFmtId="0" fontId="23" fillId="23" borderId="2" xfId="49" applyFont="1" applyFill="1" applyBorder="1" applyAlignment="1">
      <alignment horizontal="center" vertical="center" wrapText="1"/>
    </xf>
    <xf numFmtId="0" fontId="22" fillId="23" borderId="2" xfId="49" applyFont="1" applyFill="1" applyBorder="1" applyAlignment="1">
      <alignment horizontal="center" vertical="center" wrapText="1"/>
    </xf>
    <xf numFmtId="0" fontId="46" fillId="55" borderId="0" xfId="49" applyFont="1" applyFill="1"/>
    <xf numFmtId="0" fontId="46" fillId="56" borderId="12" xfId="49" applyFont="1" applyFill="1" applyBorder="1" applyAlignment="1">
      <alignment horizontal="center" vertical="center" wrapText="1"/>
    </xf>
    <xf numFmtId="0" fontId="0" fillId="0" borderId="12" xfId="49" applyFont="1" applyBorder="1" applyAlignment="1">
      <alignment horizontal="center" vertical="top"/>
    </xf>
    <xf numFmtId="0" fontId="0" fillId="0" borderId="12" xfId="49" applyFont="1" applyBorder="1" applyAlignment="1">
      <alignment vertical="top" wrapText="1"/>
    </xf>
    <xf numFmtId="0" fontId="48" fillId="0" borderId="12" xfId="50" applyBorder="1" applyAlignment="1">
      <alignment vertical="top" wrapText="1"/>
    </xf>
    <xf numFmtId="0" fontId="0" fillId="57" borderId="0" xfId="0" applyFill="1"/>
    <xf numFmtId="0" fontId="47" fillId="57" borderId="0" xfId="0" applyFont="1" applyFill="1"/>
    <xf numFmtId="0" fontId="9" fillId="3" borderId="1" xfId="49" applyFont="1" applyFill="1" applyBorder="1" applyAlignment="1">
      <alignment horizontal="center" vertical="center" wrapText="1"/>
    </xf>
    <xf numFmtId="0" fontId="0" fillId="0" borderId="11" xfId="0" applyBorder="1"/>
    <xf numFmtId="0" fontId="9" fillId="5" borderId="1" xfId="49" applyFont="1" applyFill="1" applyBorder="1" applyAlignment="1">
      <alignment horizontal="center" vertical="center" wrapText="1"/>
    </xf>
    <xf numFmtId="0" fontId="9" fillId="8" borderId="1" xfId="49" applyFont="1" applyFill="1" applyBorder="1" applyAlignment="1">
      <alignment horizontal="center" vertical="center" wrapText="1"/>
    </xf>
    <xf numFmtId="0" fontId="21" fillId="2" borderId="0" xfId="49" applyFont="1" applyFill="1" applyAlignment="1">
      <alignment horizontal="center" vertical="center"/>
    </xf>
    <xf numFmtId="0" fontId="0" fillId="0" borderId="0" xfId="0"/>
    <xf numFmtId="0" fontId="9" fillId="6" borderId="1" xfId="49" applyFont="1" applyFill="1" applyBorder="1" applyAlignment="1">
      <alignment horizontal="center" vertical="center" wrapText="1"/>
    </xf>
    <xf numFmtId="0" fontId="9" fillId="7" borderId="1" xfId="49" applyFont="1" applyFill="1" applyBorder="1" applyAlignment="1">
      <alignment horizontal="center" vertical="center" wrapText="1"/>
    </xf>
    <xf numFmtId="0" fontId="9" fillId="9" borderId="1" xfId="49" applyFont="1" applyFill="1" applyBorder="1" applyAlignment="1">
      <alignment horizontal="center" vertical="center" wrapText="1"/>
    </xf>
    <xf numFmtId="0" fontId="17" fillId="0" borderId="0" xfId="49" applyFont="1" applyAlignment="1">
      <alignment horizontal="left" vertical="center" wrapText="1"/>
    </xf>
    <xf numFmtId="0" fontId="1" fillId="2" borderId="0" xfId="49" applyFont="1" applyFill="1" applyAlignment="1">
      <alignment horizontal="center" vertical="center"/>
    </xf>
    <xf numFmtId="0" fontId="15" fillId="0" borderId="0" xfId="49" applyFont="1" applyAlignment="1">
      <alignment horizontal="left" vertical="center" wrapText="1"/>
    </xf>
    <xf numFmtId="0" fontId="19" fillId="0" borderId="0" xfId="49" applyFont="1" applyAlignment="1">
      <alignment horizontal="left" vertical="center" wrapText="1"/>
    </xf>
    <xf numFmtId="0" fontId="2" fillId="0" borderId="0" xfId="49" applyFont="1" applyAlignment="1">
      <alignment horizontal="center" vertical="center"/>
    </xf>
    <xf numFmtId="0" fontId="16" fillId="0" borderId="0" xfId="49" applyFont="1" applyAlignment="1">
      <alignment horizontal="left" vertical="center" wrapText="1"/>
    </xf>
    <xf numFmtId="0" fontId="3" fillId="3" borderId="0" xfId="49" applyFont="1" applyFill="1" applyAlignment="1">
      <alignment horizontal="left" vertical="center"/>
    </xf>
    <xf numFmtId="0" fontId="18" fillId="0" borderId="0" xfId="49" applyFont="1" applyAlignment="1">
      <alignment horizontal="left" vertical="center" wrapText="1"/>
    </xf>
    <xf numFmtId="0" fontId="3" fillId="16" borderId="0" xfId="49" applyFont="1" applyFill="1" applyAlignment="1">
      <alignment horizontal="left" vertical="center"/>
    </xf>
    <xf numFmtId="0" fontId="45" fillId="54" borderId="0" xfId="49" applyFont="1" applyFill="1"/>
    <xf numFmtId="0" fontId="0" fillId="0" borderId="0" xfId="49" applyFont="1" applyAlignment="1">
      <alignment vertical="top" wrapText="1"/>
    </xf>
  </cellXfs>
  <cellStyles count="51">
    <cellStyle name="20% - 強調文字顏色 1" xfId="26" xr:uid="{00000000-0005-0000-0000-00001A000000}"/>
    <cellStyle name="20% - 強調文字顏色 2" xfId="30" xr:uid="{00000000-0005-0000-0000-00001E000000}"/>
    <cellStyle name="20% - 強調文字顏色 3" xfId="34" xr:uid="{00000000-0005-0000-0000-000022000000}"/>
    <cellStyle name="20% - 強調文字顏色 4" xfId="38" xr:uid="{00000000-0005-0000-0000-000026000000}"/>
    <cellStyle name="20% - 強調文字顏色 5" xfId="42" xr:uid="{00000000-0005-0000-0000-00002A000000}"/>
    <cellStyle name="20% - 強調文字顏色 6" xfId="46" xr:uid="{00000000-0005-0000-0000-00002E000000}"/>
    <cellStyle name="40% - 強調文字顏色 1" xfId="27" xr:uid="{00000000-0005-0000-0000-00001B000000}"/>
    <cellStyle name="40% - 強調文字顏色 2" xfId="31" xr:uid="{00000000-0005-0000-0000-00001F000000}"/>
    <cellStyle name="40% - 強調文字顏色 3" xfId="35" xr:uid="{00000000-0005-0000-0000-000023000000}"/>
    <cellStyle name="40% - 強調文字顏色 4" xfId="39" xr:uid="{00000000-0005-0000-0000-000027000000}"/>
    <cellStyle name="40% - 強調文字顏色 5" xfId="43" xr:uid="{00000000-0005-0000-0000-00002B000000}"/>
    <cellStyle name="40% - 強調文字顏色 6" xfId="47" xr:uid="{00000000-0005-0000-0000-00002F000000}"/>
    <cellStyle name="60% - 強調文字顏色 1" xfId="28" xr:uid="{00000000-0005-0000-0000-00001C000000}"/>
    <cellStyle name="60% - 強調文字顏色 2" xfId="32" xr:uid="{00000000-0005-0000-0000-000020000000}"/>
    <cellStyle name="60% - 強調文字顏色 3" xfId="36" xr:uid="{00000000-0005-0000-0000-000024000000}"/>
    <cellStyle name="60% - 強調文字顏色 4" xfId="40" xr:uid="{00000000-0005-0000-0000-000028000000}"/>
    <cellStyle name="60% - 強調文字顏色 5" xfId="44" xr:uid="{00000000-0005-0000-0000-00002C000000}"/>
    <cellStyle name="60% - 強調文字顏色 6" xfId="48" xr:uid="{00000000-0005-0000-0000-000030000000}"/>
    <cellStyle name="Normal" xfId="0" builtinId="0"/>
    <cellStyle name="匯總" xfId="21" xr:uid="{00000000-0005-0000-0000-000015000000}"/>
    <cellStyle name="千位分隔" xfId="1" xr:uid="{00000000-0005-0000-0000-000001000000}"/>
    <cellStyle name="千位分隔[0]" xfId="4" xr:uid="{00000000-0005-0000-0000-000004000000}"/>
    <cellStyle name="好" xfId="22" xr:uid="{00000000-0005-0000-0000-000016000000}"/>
    <cellStyle name="差" xfId="23" xr:uid="{00000000-0005-0000-0000-000017000000}"/>
    <cellStyle name="已訪問的超鏈接" xfId="7" xr:uid="{00000000-0005-0000-0000-000007000000}"/>
    <cellStyle name="常規" xfId="49" xr:uid="{00000000-0005-0000-0000-000031000000}"/>
    <cellStyle name="強調文字顏色 1" xfId="25" xr:uid="{00000000-0005-0000-0000-000019000000}"/>
    <cellStyle name="強調文字顏色 2" xfId="29" xr:uid="{00000000-0005-0000-0000-00001D000000}"/>
    <cellStyle name="強調文字顏色 3" xfId="33" xr:uid="{00000000-0005-0000-0000-000021000000}"/>
    <cellStyle name="強調文字顏色 4" xfId="37" xr:uid="{00000000-0005-0000-0000-000025000000}"/>
    <cellStyle name="強調文字顏色 5" xfId="41" xr:uid="{00000000-0005-0000-0000-000029000000}"/>
    <cellStyle name="強調文字顏色 6" xfId="45" xr:uid="{00000000-0005-0000-0000-00002D000000}"/>
    <cellStyle name="標題" xfId="10" xr:uid="{00000000-0005-0000-0000-00000A000000}"/>
    <cellStyle name="標題 1" xfId="12" xr:uid="{00000000-0005-0000-0000-00000C000000}"/>
    <cellStyle name="標題 2" xfId="13" xr:uid="{00000000-0005-0000-0000-00000D000000}"/>
    <cellStyle name="標題 3" xfId="14" xr:uid="{00000000-0005-0000-0000-00000E000000}"/>
    <cellStyle name="標題 4" xfId="15" xr:uid="{00000000-0005-0000-0000-00000F000000}"/>
    <cellStyle name="檢查儲存格" xfId="19" xr:uid="{00000000-0005-0000-0000-000013000000}"/>
    <cellStyle name="百分比" xfId="3" xr:uid="{00000000-0005-0000-0000-000003000000}"/>
    <cellStyle name="解釋性文本" xfId="11" xr:uid="{00000000-0005-0000-0000-00000B000000}"/>
    <cellStyle name="計算" xfId="18" xr:uid="{00000000-0005-0000-0000-000012000000}"/>
    <cellStyle name="註釋" xfId="8" xr:uid="{00000000-0005-0000-0000-000008000000}"/>
    <cellStyle name="警告文字" xfId="9" xr:uid="{00000000-0005-0000-0000-000009000000}"/>
    <cellStyle name="貨幣" xfId="2" xr:uid="{00000000-0005-0000-0000-000002000000}"/>
    <cellStyle name="貨幣[0]" xfId="5" xr:uid="{00000000-0005-0000-0000-000005000000}"/>
    <cellStyle name="超連結" xfId="50" xr:uid="{00000000-0005-0000-0000-000032000000}"/>
    <cellStyle name="超鏈接" xfId="6" xr:uid="{00000000-0005-0000-0000-000006000000}"/>
    <cellStyle name="輸入" xfId="16" xr:uid="{00000000-0005-0000-0000-000010000000}"/>
    <cellStyle name="輸出" xfId="17" xr:uid="{00000000-0005-0000-0000-000011000000}"/>
    <cellStyle name="適中" xfId="24" xr:uid="{00000000-0005-0000-0000-000018000000}"/>
    <cellStyle name="鏈接儲存格" xfId="20" xr:uid="{00000000-0005-0000-0000-00001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B4E"/>
      <rgbColor rgb="00CCCCCC"/>
      <rgbColor rgb="00888888"/>
      <rgbColor rgb="009999FF"/>
      <rgbColor rgb="006E2F89"/>
      <rgbColor rgb="00FEF9E7"/>
      <rgbColor rgb="00E8F8F5"/>
      <rgbColor rgb="00660066"/>
      <rgbColor rgb="00FF8080"/>
      <rgbColor rgb="002471A3"/>
      <rgbColor rgb="00EAECEE"/>
      <rgbColor rgb="00000080"/>
      <rgbColor rgb="00FF00FF"/>
      <rgbColor rgb="00FFFF00"/>
      <rgbColor rgb="0000FFFF"/>
      <rgbColor rgb="00800080"/>
      <rgbColor rgb="00800000"/>
      <rgbColor rgb="001F618D"/>
      <rgbColor rgb="000000FF"/>
      <rgbColor rgb="0000CCFF"/>
      <rgbColor rgb="00D6EAF8"/>
      <rgbColor rgb="00D5F5E3"/>
      <rgbColor rgb="00F8F9FA"/>
      <rgbColor rgb="00EBF5FB"/>
      <rgbColor rgb="00FF99CC"/>
      <rgbColor rgb="00CC99FF"/>
      <rgbColor rgb="00EAF2FF"/>
      <rgbColor rgb="001A5276"/>
      <rgbColor rgb="0033CCCC"/>
      <rgbColor rgb="0099CC00"/>
      <rgbColor rgb="00FFCC00"/>
      <rgbColor rgb="00FF9900"/>
      <rgbColor rgb="00C0392B"/>
      <rgbColor rgb="003D566E"/>
      <rgbColor rgb="00969696"/>
      <rgbColor rgb="000E3251"/>
      <rgbColor rgb="002E7D52"/>
      <rgbColor rgb="00444444"/>
      <rgbColor rgb="001C2833"/>
      <rgbColor rgb="00922B21"/>
      <rgbColor rgb="008E44AD"/>
      <rgbColor rgb="00154360"/>
      <rgbColor rgb="00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660400</xdr:colOff>
      <xdr:row>39</xdr:row>
      <xdr:rowOff>63500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FD1A3ED7-3D26-DD22-22E4-88D2B6458F6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6"/>
  <sheetViews>
    <sheetView tabSelected="1" zoomScale="68" workbookViewId="0">
      <pane ySplit="3" topLeftCell="A4" activePane="bottomLeft" state="frozen"/>
      <selection pane="bottomLeft" activeCell="E13" sqref="E13"/>
    </sheetView>
  </sheetViews>
  <sheetFormatPr baseColWidth="10" defaultColWidth="8.6640625" defaultRowHeight="14.4"/>
  <cols>
    <col min="1" max="1" width="16" customWidth="1"/>
    <col min="2" max="3" width="13" customWidth="1"/>
    <col min="4" max="4" width="14" customWidth="1"/>
    <col min="5" max="5" width="18" customWidth="1"/>
    <col min="6" max="6" width="16" customWidth="1"/>
    <col min="7" max="8" width="14" customWidth="1"/>
    <col min="9" max="9" width="28" customWidth="1"/>
    <col min="10" max="10" width="12" customWidth="1"/>
    <col min="11" max="11" width="10" customWidth="1"/>
    <col min="12" max="12" width="18" customWidth="1"/>
    <col min="13" max="16" width="14" customWidth="1"/>
    <col min="17" max="17" width="12" customWidth="1"/>
    <col min="18" max="18" width="14" customWidth="1"/>
    <col min="19" max="19" width="13" customWidth="1"/>
    <col min="20" max="20" width="12" customWidth="1"/>
    <col min="21" max="22" width="14" customWidth="1"/>
    <col min="23" max="23" width="36" customWidth="1"/>
    <col min="24" max="24" width="16" customWidth="1"/>
    <col min="25" max="25" width="13" customWidth="1"/>
    <col min="26" max="29" width="15" customWidth="1"/>
    <col min="30" max="30" width="18" customWidth="1"/>
    <col min="31" max="31" width="16" customWidth="1"/>
    <col min="32" max="32" width="15" customWidth="1"/>
    <col min="33" max="35" width="14" customWidth="1"/>
    <col min="36" max="36" width="18" customWidth="1"/>
    <col min="37" max="37" width="14" customWidth="1"/>
    <col min="38" max="38" width="40" customWidth="1"/>
    <col min="39" max="39" width="18" customWidth="1"/>
    <col min="40" max="41" width="14" customWidth="1"/>
    <col min="42" max="43" width="15" customWidth="1"/>
    <col min="44" max="45" width="14" customWidth="1"/>
    <col min="46" max="46" width="18" customWidth="1"/>
    <col min="47" max="47" width="16" customWidth="1"/>
    <col min="48" max="48" width="15" customWidth="1"/>
    <col min="49" max="51" width="14" customWidth="1"/>
    <col min="52" max="53" width="13" customWidth="1"/>
    <col min="54" max="54" width="14" customWidth="1"/>
    <col min="55" max="55" width="11" customWidth="1"/>
    <col min="56" max="56" width="13" customWidth="1"/>
    <col min="57" max="57" width="14" customWidth="1"/>
    <col min="58" max="59" width="22" customWidth="1"/>
    <col min="60" max="60" width="16" customWidth="1"/>
    <col min="61" max="61" width="14" customWidth="1"/>
    <col min="62" max="62" width="10" customWidth="1"/>
    <col min="63" max="63" width="13" customWidth="1"/>
    <col min="64" max="64" width="45" customWidth="1"/>
  </cols>
  <sheetData>
    <row r="1" spans="1:64" ht="34.049999999999997" customHeigh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</row>
    <row r="2" spans="1:64" ht="28.95" customHeight="1">
      <c r="A2" s="55" t="s">
        <v>1</v>
      </c>
      <c r="B2" s="56"/>
      <c r="C2" s="56"/>
      <c r="D2" s="56"/>
      <c r="E2" s="56"/>
      <c r="F2" s="57" t="s">
        <v>2</v>
      </c>
      <c r="G2" s="56"/>
      <c r="H2" s="56"/>
      <c r="I2" s="56"/>
      <c r="J2" s="61" t="s">
        <v>3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62" t="s">
        <v>4</v>
      </c>
      <c r="Y2" s="56"/>
      <c r="Z2" s="56"/>
      <c r="AA2" s="56"/>
      <c r="AB2" s="56"/>
      <c r="AC2" s="56"/>
      <c r="AD2" s="56"/>
      <c r="AE2" s="58" t="s">
        <v>5</v>
      </c>
      <c r="AF2" s="56"/>
      <c r="AG2" s="56"/>
      <c r="AH2" s="56"/>
      <c r="AI2" s="56"/>
      <c r="AJ2" s="56"/>
      <c r="AK2" s="56"/>
      <c r="AL2" s="56"/>
      <c r="AM2" s="63" t="s">
        <v>6</v>
      </c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64" ht="40.049999999999997" customHeight="1">
      <c r="A3" s="34" t="s">
        <v>7</v>
      </c>
      <c r="B3" s="34" t="s">
        <v>8</v>
      </c>
      <c r="C3" s="34" t="s">
        <v>9</v>
      </c>
      <c r="D3" s="34" t="s">
        <v>10</v>
      </c>
      <c r="E3" s="34" t="s">
        <v>11</v>
      </c>
      <c r="F3" s="36" t="s">
        <v>12</v>
      </c>
      <c r="G3" s="36" t="s">
        <v>13</v>
      </c>
      <c r="H3" s="36" t="s">
        <v>14</v>
      </c>
      <c r="I3" s="36" t="s">
        <v>15</v>
      </c>
      <c r="J3" s="38" t="s">
        <v>16</v>
      </c>
      <c r="K3" s="38" t="s">
        <v>17</v>
      </c>
      <c r="L3" s="38" t="s">
        <v>18</v>
      </c>
      <c r="M3" s="38" t="s">
        <v>19</v>
      </c>
      <c r="N3" s="38" t="s">
        <v>20</v>
      </c>
      <c r="O3" s="38" t="s">
        <v>21</v>
      </c>
      <c r="P3" s="38" t="s">
        <v>22</v>
      </c>
      <c r="Q3" s="38" t="s">
        <v>23</v>
      </c>
      <c r="R3" s="38" t="s">
        <v>24</v>
      </c>
      <c r="S3" s="38" t="s">
        <v>25</v>
      </c>
      <c r="T3" s="38" t="s">
        <v>26</v>
      </c>
      <c r="U3" s="38" t="s">
        <v>27</v>
      </c>
      <c r="V3" s="38" t="s">
        <v>28</v>
      </c>
      <c r="W3" s="38" t="s">
        <v>29</v>
      </c>
      <c r="X3" s="41" t="s">
        <v>30</v>
      </c>
      <c r="Y3" s="41" t="s">
        <v>31</v>
      </c>
      <c r="Z3" s="41" t="s">
        <v>32</v>
      </c>
      <c r="AA3" s="41" t="s">
        <v>33</v>
      </c>
      <c r="AB3" s="41" t="s">
        <v>34</v>
      </c>
      <c r="AC3" s="41" t="s">
        <v>35</v>
      </c>
      <c r="AD3" s="41" t="s">
        <v>36</v>
      </c>
      <c r="AE3" s="43" t="s">
        <v>37</v>
      </c>
      <c r="AF3" s="43" t="s">
        <v>38</v>
      </c>
      <c r="AG3" s="43" t="s">
        <v>39</v>
      </c>
      <c r="AH3" s="43" t="s">
        <v>40</v>
      </c>
      <c r="AI3" s="43" t="s">
        <v>41</v>
      </c>
      <c r="AJ3" s="43" t="s">
        <v>42</v>
      </c>
      <c r="AK3" s="43" t="s">
        <v>43</v>
      </c>
      <c r="AL3" s="43" t="s">
        <v>44</v>
      </c>
      <c r="AM3" s="45" t="s">
        <v>45</v>
      </c>
      <c r="AN3" s="45" t="s">
        <v>46</v>
      </c>
      <c r="AO3" s="45" t="s">
        <v>47</v>
      </c>
      <c r="AP3" s="45" t="s">
        <v>48</v>
      </c>
      <c r="AQ3" s="45" t="s">
        <v>49</v>
      </c>
      <c r="AR3" s="45" t="s">
        <v>50</v>
      </c>
      <c r="AS3" s="45" t="s">
        <v>51</v>
      </c>
      <c r="AT3" s="45" t="s">
        <v>52</v>
      </c>
      <c r="AU3" s="45" t="s">
        <v>53</v>
      </c>
      <c r="AV3" s="45" t="s">
        <v>54</v>
      </c>
      <c r="AW3" s="45" t="s">
        <v>55</v>
      </c>
      <c r="AX3" s="45" t="s">
        <v>56</v>
      </c>
      <c r="AY3" s="45" t="s">
        <v>57</v>
      </c>
      <c r="AZ3" s="45" t="s">
        <v>58</v>
      </c>
      <c r="BA3" s="45" t="s">
        <v>59</v>
      </c>
      <c r="BB3" s="45" t="s">
        <v>60</v>
      </c>
      <c r="BC3" s="45" t="s">
        <v>61</v>
      </c>
      <c r="BD3" s="45" t="s">
        <v>62</v>
      </c>
      <c r="BE3" s="45" t="s">
        <v>63</v>
      </c>
      <c r="BF3" s="45" t="s">
        <v>64</v>
      </c>
      <c r="BG3" s="45" t="s">
        <v>65</v>
      </c>
      <c r="BH3" s="45" t="s">
        <v>66</v>
      </c>
      <c r="BI3" s="45" t="s">
        <v>67</v>
      </c>
      <c r="BJ3" s="45" t="s">
        <v>68</v>
      </c>
      <c r="BK3" s="45" t="s">
        <v>69</v>
      </c>
      <c r="BL3" s="45" t="s">
        <v>70</v>
      </c>
    </row>
    <row r="4" spans="1:64" ht="40.049999999999997" customHeight="1">
      <c r="A4" s="35" t="s">
        <v>71</v>
      </c>
      <c r="B4" s="35" t="s">
        <v>72</v>
      </c>
      <c r="C4" s="35" t="s">
        <v>73</v>
      </c>
      <c r="D4" s="35" t="s">
        <v>74</v>
      </c>
      <c r="E4" s="35" t="s">
        <v>75</v>
      </c>
      <c r="F4" s="37" t="s">
        <v>76</v>
      </c>
      <c r="G4" s="37" t="s">
        <v>77</v>
      </c>
      <c r="H4" s="37" t="s">
        <v>78</v>
      </c>
      <c r="I4" s="37" t="s">
        <v>79</v>
      </c>
      <c r="J4" s="39" t="s">
        <v>80</v>
      </c>
      <c r="K4" s="39" t="s">
        <v>81</v>
      </c>
      <c r="L4" s="39" t="s">
        <v>82</v>
      </c>
      <c r="M4" s="39" t="s">
        <v>83</v>
      </c>
      <c r="N4" s="39" t="s">
        <v>84</v>
      </c>
      <c r="O4" s="39" t="s">
        <v>85</v>
      </c>
      <c r="P4" s="39" t="s">
        <v>86</v>
      </c>
      <c r="Q4" s="39" t="s">
        <v>87</v>
      </c>
      <c r="R4" s="40" t="s">
        <v>88</v>
      </c>
      <c r="S4" s="39" t="s">
        <v>89</v>
      </c>
      <c r="T4" s="39" t="s">
        <v>90</v>
      </c>
      <c r="U4" s="39" t="s">
        <v>91</v>
      </c>
      <c r="V4" s="39" t="s">
        <v>92</v>
      </c>
      <c r="W4" s="39" t="s">
        <v>93</v>
      </c>
      <c r="X4" s="42" t="s">
        <v>94</v>
      </c>
      <c r="Y4" s="42" t="s">
        <v>95</v>
      </c>
      <c r="Z4" s="42" t="s">
        <v>96</v>
      </c>
      <c r="AA4" s="42" t="s">
        <v>97</v>
      </c>
      <c r="AB4" s="42" t="s">
        <v>98</v>
      </c>
      <c r="AC4" s="42" t="s">
        <v>99</v>
      </c>
      <c r="AD4" s="42" t="s">
        <v>100</v>
      </c>
      <c r="AE4" s="44" t="s">
        <v>101</v>
      </c>
      <c r="AF4" s="44" t="s">
        <v>102</v>
      </c>
      <c r="AG4" s="44" t="s">
        <v>103</v>
      </c>
      <c r="AH4" s="44" t="s">
        <v>104</v>
      </c>
      <c r="AI4" s="44" t="s">
        <v>105</v>
      </c>
      <c r="AJ4" s="44" t="s">
        <v>106</v>
      </c>
      <c r="AK4" s="44" t="s">
        <v>107</v>
      </c>
      <c r="AL4" s="44" t="s">
        <v>108</v>
      </c>
      <c r="AM4" s="46" t="s">
        <v>109</v>
      </c>
      <c r="AN4" s="46" t="s">
        <v>110</v>
      </c>
      <c r="AO4" s="46" t="s">
        <v>111</v>
      </c>
      <c r="AP4" s="46" t="s">
        <v>112</v>
      </c>
      <c r="AQ4" s="46" t="s">
        <v>113</v>
      </c>
      <c r="AR4" s="47" t="s">
        <v>114</v>
      </c>
      <c r="AS4" s="46" t="s">
        <v>115</v>
      </c>
      <c r="AT4" s="46" t="s">
        <v>116</v>
      </c>
      <c r="AU4" s="46" t="s">
        <v>117</v>
      </c>
      <c r="AV4" s="47" t="s">
        <v>118</v>
      </c>
      <c r="AW4" s="46" t="s">
        <v>119</v>
      </c>
      <c r="AX4" s="46" t="s">
        <v>120</v>
      </c>
      <c r="AY4" s="46" t="s">
        <v>121</v>
      </c>
      <c r="AZ4" s="46" t="s">
        <v>122</v>
      </c>
      <c r="BA4" s="46" t="s">
        <v>123</v>
      </c>
      <c r="BB4" s="46" t="s">
        <v>124</v>
      </c>
      <c r="BC4" s="46" t="s">
        <v>125</v>
      </c>
      <c r="BD4" s="46" t="s">
        <v>126</v>
      </c>
      <c r="BE4" s="46" t="s">
        <v>127</v>
      </c>
      <c r="BF4" s="46" t="s">
        <v>128</v>
      </c>
      <c r="BG4" s="46" t="s">
        <v>129</v>
      </c>
      <c r="BH4" s="46" t="s">
        <v>130</v>
      </c>
      <c r="BI4" s="46" t="s">
        <v>131</v>
      </c>
      <c r="BJ4" s="46" t="s">
        <v>132</v>
      </c>
      <c r="BK4" s="46" t="s">
        <v>133</v>
      </c>
      <c r="BL4" s="46" t="s">
        <v>134</v>
      </c>
    </row>
    <row r="5" spans="1:64" ht="21" customHeight="1">
      <c r="A5" s="53" t="s">
        <v>141</v>
      </c>
      <c r="B5" s="53">
        <v>2</v>
      </c>
      <c r="C5" s="53" t="s">
        <v>136</v>
      </c>
      <c r="D5" s="53" t="s">
        <v>142</v>
      </c>
      <c r="E5" s="53" t="s">
        <v>740</v>
      </c>
      <c r="F5" s="53">
        <v>582</v>
      </c>
      <c r="G5" s="53">
        <v>1670</v>
      </c>
      <c r="H5" s="53">
        <f t="shared" ref="H5:H46" si="0">IFERROR(F5/G5,"")</f>
        <v>0.34850299401197604</v>
      </c>
      <c r="I5" s="53" t="s">
        <v>142</v>
      </c>
      <c r="J5" s="53">
        <v>3.5</v>
      </c>
      <c r="K5" s="53">
        <v>6</v>
      </c>
      <c r="L5" s="53" t="s">
        <v>143</v>
      </c>
      <c r="M5" s="53" t="s">
        <v>144</v>
      </c>
      <c r="N5" s="53">
        <v>12.7</v>
      </c>
      <c r="O5" s="53">
        <v>9.5</v>
      </c>
      <c r="P5" s="53">
        <v>11.1</v>
      </c>
      <c r="Q5" s="53">
        <v>31</v>
      </c>
      <c r="R5" s="53">
        <v>259</v>
      </c>
      <c r="S5" s="53">
        <v>225.09039548022599</v>
      </c>
      <c r="T5" s="53">
        <v>29.748587570621499</v>
      </c>
      <c r="U5" s="53">
        <v>2.7225988700564998</v>
      </c>
      <c r="V5" s="53">
        <v>4.7401129943502802</v>
      </c>
      <c r="W5" s="53" t="s">
        <v>145</v>
      </c>
      <c r="X5" s="53">
        <v>1918861</v>
      </c>
      <c r="Y5" s="53">
        <v>1</v>
      </c>
      <c r="Z5" s="53">
        <v>30438.784898477199</v>
      </c>
      <c r="AA5" s="53">
        <v>1.0569626533007399</v>
      </c>
      <c r="AB5" s="53">
        <v>1.1487869368922701</v>
      </c>
      <c r="AC5" s="53">
        <v>34967.678466244099</v>
      </c>
      <c r="AD5" s="53">
        <v>1712511006.42816</v>
      </c>
      <c r="AE5" s="53">
        <v>49110</v>
      </c>
      <c r="AF5" s="53">
        <v>0.99723298999145105</v>
      </c>
      <c r="AG5" s="53">
        <v>48974.112138480101</v>
      </c>
      <c r="AH5" s="53">
        <v>2.7504441624365401</v>
      </c>
      <c r="AI5" s="53">
        <v>4.9010152284263997</v>
      </c>
      <c r="AJ5" s="53" t="s">
        <v>138</v>
      </c>
      <c r="AK5" s="53" t="s">
        <v>139</v>
      </c>
      <c r="AL5" s="53" t="s">
        <v>140</v>
      </c>
      <c r="AM5" s="53" t="s">
        <v>146</v>
      </c>
      <c r="AN5" s="53">
        <v>3</v>
      </c>
      <c r="AO5" s="53" t="s">
        <v>147</v>
      </c>
      <c r="AP5" s="53">
        <v>360</v>
      </c>
      <c r="AQ5" s="53">
        <v>480</v>
      </c>
      <c r="AR5" s="53">
        <v>5.7</v>
      </c>
      <c r="AS5" s="53">
        <v>181</v>
      </c>
      <c r="AT5" s="53" t="s">
        <v>148</v>
      </c>
      <c r="AU5" s="53" t="s">
        <v>149</v>
      </c>
      <c r="AV5" s="53">
        <v>10.7</v>
      </c>
      <c r="AW5" s="53" t="s">
        <v>146</v>
      </c>
      <c r="AX5" s="53">
        <v>36</v>
      </c>
      <c r="AY5" s="53">
        <v>5039</v>
      </c>
      <c r="AZ5" s="53">
        <v>1978</v>
      </c>
      <c r="BA5" s="53">
        <v>1704</v>
      </c>
      <c r="BB5" s="53">
        <v>2891</v>
      </c>
      <c r="BC5" s="53">
        <v>7</v>
      </c>
      <c r="BD5" s="53">
        <v>2690</v>
      </c>
      <c r="BE5" s="53">
        <v>2295</v>
      </c>
      <c r="BF5" s="53" t="s">
        <v>150</v>
      </c>
      <c r="BG5" s="53" t="s">
        <v>151</v>
      </c>
      <c r="BH5" s="53" t="s">
        <v>152</v>
      </c>
      <c r="BI5" s="53" t="s">
        <v>153</v>
      </c>
      <c r="BJ5" s="53" t="s">
        <v>153</v>
      </c>
      <c r="BK5" s="53" t="s">
        <v>154</v>
      </c>
      <c r="BL5" s="53" t="s">
        <v>155</v>
      </c>
    </row>
    <row r="6" spans="1:64" ht="21" customHeight="1">
      <c r="A6" s="53" t="s">
        <v>141</v>
      </c>
      <c r="B6" s="53">
        <v>2</v>
      </c>
      <c r="C6" s="53" t="s">
        <v>136</v>
      </c>
      <c r="D6" s="53" t="s">
        <v>156</v>
      </c>
      <c r="E6" s="53" t="s">
        <v>741</v>
      </c>
      <c r="F6" s="53">
        <v>423</v>
      </c>
      <c r="G6" s="53">
        <v>1670</v>
      </c>
      <c r="H6" s="53">
        <f t="shared" si="0"/>
        <v>0.25329341317365267</v>
      </c>
      <c r="I6" s="53" t="s">
        <v>156</v>
      </c>
      <c r="J6" s="53">
        <v>3.5</v>
      </c>
      <c r="K6" s="53">
        <v>6</v>
      </c>
      <c r="L6" s="53" t="s">
        <v>157</v>
      </c>
      <c r="M6" s="53" t="s">
        <v>144</v>
      </c>
      <c r="N6" s="53">
        <v>12.4</v>
      </c>
      <c r="O6" s="53">
        <v>9.1</v>
      </c>
      <c r="P6" s="53">
        <v>10.7</v>
      </c>
      <c r="Q6" s="53">
        <v>29</v>
      </c>
      <c r="R6" s="53">
        <v>250</v>
      </c>
      <c r="S6" s="53">
        <v>225.09039548022599</v>
      </c>
      <c r="T6" s="53">
        <v>29.748587570621499</v>
      </c>
      <c r="U6" s="53">
        <v>2.7225988700564998</v>
      </c>
      <c r="V6" s="53">
        <v>4.7401129943502802</v>
      </c>
      <c r="W6" s="53" t="s">
        <v>158</v>
      </c>
      <c r="X6" s="53">
        <v>1918861</v>
      </c>
      <c r="Y6" s="53">
        <v>1</v>
      </c>
      <c r="Z6" s="53">
        <v>30438.784898477199</v>
      </c>
      <c r="AA6" s="53">
        <v>0.972526709894732</v>
      </c>
      <c r="AB6" s="53">
        <v>1.0570155687307801</v>
      </c>
      <c r="AC6" s="53">
        <v>32174.2695309378</v>
      </c>
      <c r="AD6" s="53">
        <v>1575706283.9818299</v>
      </c>
      <c r="AE6" s="53">
        <v>49110</v>
      </c>
      <c r="AF6" s="53">
        <v>0.99723298999145105</v>
      </c>
      <c r="AG6" s="53">
        <v>48974.112138480101</v>
      </c>
      <c r="AH6" s="53">
        <v>2.7504441624365401</v>
      </c>
      <c r="AI6" s="53">
        <v>4.9010152284263997</v>
      </c>
      <c r="AJ6" s="53" t="s">
        <v>138</v>
      </c>
      <c r="AK6" s="53" t="s">
        <v>139</v>
      </c>
      <c r="AL6" s="53" t="s">
        <v>140</v>
      </c>
      <c r="AM6" s="53" t="s">
        <v>146</v>
      </c>
      <c r="AN6" s="53">
        <v>2</v>
      </c>
      <c r="AO6" s="53" t="s">
        <v>159</v>
      </c>
      <c r="AP6" s="53">
        <v>276</v>
      </c>
      <c r="AQ6" s="53">
        <v>380</v>
      </c>
      <c r="AR6" s="53">
        <v>6.6</v>
      </c>
      <c r="AS6" s="53">
        <v>210</v>
      </c>
      <c r="AT6" s="53" t="s">
        <v>148</v>
      </c>
      <c r="AU6" s="53" t="s">
        <v>149</v>
      </c>
      <c r="AV6" s="53">
        <v>8.9</v>
      </c>
      <c r="AW6" s="53" t="s">
        <v>146</v>
      </c>
      <c r="AX6" s="53">
        <v>38</v>
      </c>
      <c r="AY6" s="53">
        <v>4750</v>
      </c>
      <c r="AZ6" s="53">
        <v>1926</v>
      </c>
      <c r="BA6" s="53">
        <v>1668</v>
      </c>
      <c r="BB6" s="53">
        <v>2750</v>
      </c>
      <c r="BC6" s="53">
        <v>5</v>
      </c>
      <c r="BD6" s="53">
        <v>2260</v>
      </c>
      <c r="BE6" s="53">
        <v>1815</v>
      </c>
      <c r="BF6" s="53" t="s">
        <v>160</v>
      </c>
      <c r="BG6" s="53" t="s">
        <v>151</v>
      </c>
      <c r="BH6" s="53" t="s">
        <v>152</v>
      </c>
      <c r="BI6" s="53" t="s">
        <v>153</v>
      </c>
      <c r="BJ6" s="53" t="s">
        <v>153</v>
      </c>
      <c r="BK6" s="53" t="s">
        <v>161</v>
      </c>
      <c r="BL6" s="53" t="s">
        <v>162</v>
      </c>
    </row>
    <row r="7" spans="1:64" ht="21" customHeight="1">
      <c r="A7" s="53" t="s">
        <v>164</v>
      </c>
      <c r="B7" s="53">
        <v>3</v>
      </c>
      <c r="C7" s="53" t="s">
        <v>165</v>
      </c>
      <c r="D7" s="53" t="s">
        <v>166</v>
      </c>
      <c r="E7" s="53" t="s">
        <v>741</v>
      </c>
      <c r="F7" s="53">
        <v>7886</v>
      </c>
      <c r="G7" s="53">
        <v>15583</v>
      </c>
      <c r="H7" s="53">
        <f t="shared" si="0"/>
        <v>0.50606430084065968</v>
      </c>
      <c r="I7" s="53" t="s">
        <v>166</v>
      </c>
      <c r="J7" s="53">
        <v>2.4</v>
      </c>
      <c r="K7" s="53">
        <v>4</v>
      </c>
      <c r="L7" s="53" t="s">
        <v>167</v>
      </c>
      <c r="M7" s="53" t="s">
        <v>168</v>
      </c>
      <c r="N7" s="53">
        <v>10.6</v>
      </c>
      <c r="O7" s="53">
        <v>7.9</v>
      </c>
      <c r="P7" s="53">
        <v>9.4</v>
      </c>
      <c r="Q7" s="53">
        <v>37</v>
      </c>
      <c r="R7" s="53">
        <v>216</v>
      </c>
      <c r="S7" s="53">
        <v>225.09039548022599</v>
      </c>
      <c r="T7" s="53">
        <v>29.748587570621499</v>
      </c>
      <c r="U7" s="53">
        <v>2.7225988700564998</v>
      </c>
      <c r="V7" s="53">
        <v>4.7401129943502802</v>
      </c>
      <c r="W7" s="53" t="s">
        <v>169</v>
      </c>
      <c r="X7" s="53">
        <v>1918861</v>
      </c>
      <c r="Y7" s="53">
        <v>1</v>
      </c>
      <c r="Z7" s="53">
        <v>47484.504441624398</v>
      </c>
      <c r="AA7" s="53">
        <v>1.24712936272863</v>
      </c>
      <c r="AB7" s="53">
        <v>1.22675212167655</v>
      </c>
      <c r="AC7" s="53">
        <v>58251.716570522301</v>
      </c>
      <c r="AD7" s="53">
        <v>1819163146.70258</v>
      </c>
      <c r="AE7" s="53">
        <v>31316</v>
      </c>
      <c r="AF7" s="53">
        <v>0.99723298999145105</v>
      </c>
      <c r="AG7" s="53">
        <v>31229.3483145723</v>
      </c>
      <c r="AH7" s="53">
        <v>2.7504441624365401</v>
      </c>
      <c r="AI7" s="53">
        <v>4.9010152284263997</v>
      </c>
      <c r="AJ7" s="53" t="s">
        <v>170</v>
      </c>
      <c r="AK7" s="53" t="s">
        <v>139</v>
      </c>
      <c r="AL7" s="53" t="s">
        <v>171</v>
      </c>
      <c r="AM7" s="53" t="s">
        <v>172</v>
      </c>
      <c r="AN7" s="53">
        <v>2.4</v>
      </c>
      <c r="AO7" s="53" t="s">
        <v>147</v>
      </c>
      <c r="AP7" s="53">
        <v>193</v>
      </c>
      <c r="AQ7" s="53">
        <v>340</v>
      </c>
      <c r="AR7" s="53">
        <v>10.8</v>
      </c>
      <c r="AS7" s="53">
        <v>193</v>
      </c>
      <c r="AT7" s="53" t="s">
        <v>173</v>
      </c>
      <c r="AU7" s="53" t="s">
        <v>149</v>
      </c>
      <c r="AV7" s="53">
        <v>8.1199999999999992</v>
      </c>
      <c r="AW7" s="53" t="s">
        <v>172</v>
      </c>
      <c r="AX7" s="53">
        <v>41</v>
      </c>
      <c r="AY7" s="53">
        <v>4703</v>
      </c>
      <c r="AZ7" s="53">
        <v>1866</v>
      </c>
      <c r="BA7" s="53">
        <v>1811</v>
      </c>
      <c r="BB7" s="53">
        <v>2701</v>
      </c>
      <c r="BC7" s="53">
        <v>7</v>
      </c>
      <c r="BD7" s="53">
        <v>2166</v>
      </c>
      <c r="BE7" s="53">
        <v>1923</v>
      </c>
      <c r="BF7" s="53" t="s">
        <v>160</v>
      </c>
      <c r="BG7" s="53" t="s">
        <v>151</v>
      </c>
      <c r="BH7" s="53" t="s">
        <v>152</v>
      </c>
      <c r="BI7" s="53" t="s">
        <v>153</v>
      </c>
      <c r="BJ7" s="53" t="s">
        <v>153</v>
      </c>
      <c r="BK7" s="53">
        <v>2002.01</v>
      </c>
      <c r="BL7" s="53" t="s">
        <v>174</v>
      </c>
    </row>
    <row r="8" spans="1:64" ht="21" customHeight="1">
      <c r="A8" s="53" t="s">
        <v>164</v>
      </c>
      <c r="B8" s="53">
        <v>3</v>
      </c>
      <c r="C8" s="53" t="s">
        <v>165</v>
      </c>
      <c r="D8" s="53" t="s">
        <v>175</v>
      </c>
      <c r="E8" s="53" t="s">
        <v>739</v>
      </c>
      <c r="F8" s="53">
        <v>1659</v>
      </c>
      <c r="G8" s="53">
        <v>15583</v>
      </c>
      <c r="H8" s="53">
        <f t="shared" si="0"/>
        <v>0.10646217031380351</v>
      </c>
      <c r="I8" s="53" t="s">
        <v>175</v>
      </c>
      <c r="J8" s="53">
        <v>1.8</v>
      </c>
      <c r="K8" s="53">
        <v>4</v>
      </c>
      <c r="L8" s="53" t="s">
        <v>176</v>
      </c>
      <c r="M8" s="53" t="s">
        <v>168</v>
      </c>
      <c r="N8" s="53">
        <v>9.4</v>
      </c>
      <c r="O8" s="53">
        <v>7.7</v>
      </c>
      <c r="P8" s="53">
        <v>8.5</v>
      </c>
      <c r="Q8" s="53">
        <v>37</v>
      </c>
      <c r="R8" s="53">
        <v>200</v>
      </c>
      <c r="S8" s="53">
        <v>225.09039548022599</v>
      </c>
      <c r="T8" s="53">
        <v>34.8020833333333</v>
      </c>
      <c r="U8" s="53">
        <v>2.7225988700564998</v>
      </c>
      <c r="V8" s="53">
        <v>4.7401129943502802</v>
      </c>
      <c r="W8" s="53" t="s">
        <v>177</v>
      </c>
      <c r="X8" s="53">
        <v>1918861</v>
      </c>
      <c r="Y8" s="53">
        <v>1</v>
      </c>
      <c r="Z8" s="53">
        <v>47484.504441624398</v>
      </c>
      <c r="AA8" s="53">
        <v>1.25772683897534</v>
      </c>
      <c r="AB8" s="53">
        <v>1.23717644240751</v>
      </c>
      <c r="AC8" s="53">
        <v>58746.710274572302</v>
      </c>
      <c r="AD8" s="53">
        <v>1834621477.4998801</v>
      </c>
      <c r="AE8" s="53">
        <v>31316</v>
      </c>
      <c r="AF8" s="53">
        <v>0.99723298999145105</v>
      </c>
      <c r="AG8" s="53">
        <v>31229.3483145723</v>
      </c>
      <c r="AH8" s="53">
        <v>2.7504441624365401</v>
      </c>
      <c r="AI8" s="53">
        <v>4.9010152284263997</v>
      </c>
      <c r="AJ8" s="53" t="s">
        <v>170</v>
      </c>
      <c r="AK8" s="53" t="s">
        <v>139</v>
      </c>
      <c r="AL8" s="53" t="s">
        <v>171</v>
      </c>
      <c r="AM8" s="53" t="s">
        <v>178</v>
      </c>
      <c r="AN8" s="53">
        <v>2</v>
      </c>
      <c r="AO8" s="53" t="s">
        <v>147</v>
      </c>
      <c r="AP8" s="53">
        <v>182</v>
      </c>
      <c r="AQ8" s="53">
        <v>240</v>
      </c>
      <c r="AR8" s="53">
        <v>8.9</v>
      </c>
      <c r="AS8" s="53">
        <v>192</v>
      </c>
      <c r="AT8" s="53" t="s">
        <v>179</v>
      </c>
      <c r="AU8" s="53" t="s">
        <v>180</v>
      </c>
      <c r="AV8" s="53">
        <v>7.08</v>
      </c>
      <c r="AW8" s="53" t="s">
        <v>178</v>
      </c>
      <c r="AX8" s="53">
        <v>41</v>
      </c>
      <c r="AY8" s="53">
        <v>4569</v>
      </c>
      <c r="AZ8" s="53">
        <v>1840</v>
      </c>
      <c r="BA8" s="53">
        <v>1621</v>
      </c>
      <c r="BB8" s="53">
        <v>2655</v>
      </c>
      <c r="BC8" s="53">
        <v>5</v>
      </c>
      <c r="BD8" s="53">
        <v>1560</v>
      </c>
      <c r="BE8" s="53">
        <v>1641</v>
      </c>
      <c r="BF8" s="53" t="s">
        <v>160</v>
      </c>
      <c r="BG8" s="53" t="s">
        <v>151</v>
      </c>
      <c r="BH8" s="53" t="s">
        <v>152</v>
      </c>
      <c r="BI8" s="53" t="s">
        <v>153</v>
      </c>
      <c r="BJ8" s="53" t="s">
        <v>153</v>
      </c>
      <c r="BK8" s="53">
        <v>2023.04</v>
      </c>
      <c r="BL8" s="53" t="s">
        <v>181</v>
      </c>
    </row>
    <row r="9" spans="1:64" ht="21" customHeight="1">
      <c r="A9" s="53" t="s">
        <v>141</v>
      </c>
      <c r="B9" s="53">
        <v>2</v>
      </c>
      <c r="C9" s="53" t="s">
        <v>165</v>
      </c>
      <c r="D9" s="53" t="s">
        <v>182</v>
      </c>
      <c r="E9" s="54" t="s">
        <v>743</v>
      </c>
      <c r="F9" s="53">
        <v>508</v>
      </c>
      <c r="G9" s="53">
        <v>15583</v>
      </c>
      <c r="H9" s="53">
        <f t="shared" si="0"/>
        <v>3.2599627799525126E-2</v>
      </c>
      <c r="I9" s="53" t="s">
        <v>183</v>
      </c>
      <c r="J9" s="53">
        <v>3.5</v>
      </c>
      <c r="K9" s="53">
        <v>6</v>
      </c>
      <c r="L9" s="53" t="s">
        <v>184</v>
      </c>
      <c r="M9" s="53" t="s">
        <v>168</v>
      </c>
      <c r="N9" s="53">
        <v>12.5</v>
      </c>
      <c r="O9" s="53">
        <v>9.8000000000000007</v>
      </c>
      <c r="P9" s="53">
        <v>11.3</v>
      </c>
      <c r="Q9" s="53">
        <v>25</v>
      </c>
      <c r="R9" s="53">
        <v>265</v>
      </c>
      <c r="S9" s="53">
        <v>225.09039548022599</v>
      </c>
      <c r="T9" s="53">
        <v>29.748587570621499</v>
      </c>
      <c r="U9" s="53">
        <v>2.7225988700564998</v>
      </c>
      <c r="V9" s="53">
        <v>4.7401129943502802</v>
      </c>
      <c r="W9" s="53" t="s">
        <v>185</v>
      </c>
      <c r="X9" s="53">
        <v>1918861</v>
      </c>
      <c r="Y9" s="53">
        <v>1</v>
      </c>
      <c r="Z9" s="53">
        <v>47484.504441624398</v>
      </c>
      <c r="AA9" s="53">
        <v>0.84488687572938503</v>
      </c>
      <c r="AB9" s="53">
        <v>0.83108200187828496</v>
      </c>
      <c r="AC9" s="53">
        <v>39463.517009543502</v>
      </c>
      <c r="AD9" s="53">
        <v>1232419918.40908</v>
      </c>
      <c r="AE9" s="53">
        <v>31316</v>
      </c>
      <c r="AF9" s="53">
        <v>0.99723298999145105</v>
      </c>
      <c r="AG9" s="53">
        <v>31229.3483145723</v>
      </c>
      <c r="AH9" s="53">
        <v>2.7504441624365401</v>
      </c>
      <c r="AI9" s="53">
        <v>4.9010152284263997</v>
      </c>
      <c r="AJ9" s="53" t="s">
        <v>170</v>
      </c>
      <c r="AK9" s="53" t="s">
        <v>139</v>
      </c>
      <c r="AL9" s="53" t="s">
        <v>171</v>
      </c>
      <c r="AM9" s="53" t="s">
        <v>146</v>
      </c>
      <c r="AN9" s="53">
        <v>3.5</v>
      </c>
      <c r="AO9" s="53" t="s">
        <v>186</v>
      </c>
      <c r="AP9" s="53">
        <v>289</v>
      </c>
      <c r="AQ9" s="53">
        <v>355</v>
      </c>
      <c r="AR9" s="53">
        <v>6.8</v>
      </c>
      <c r="AS9" s="53">
        <v>180</v>
      </c>
      <c r="AT9" s="53" t="s">
        <v>148</v>
      </c>
      <c r="AU9" s="53" t="s">
        <v>187</v>
      </c>
      <c r="AV9" s="53">
        <v>11.2</v>
      </c>
      <c r="AW9" s="53" t="s">
        <v>146</v>
      </c>
      <c r="AX9" s="53">
        <v>35</v>
      </c>
      <c r="AY9" s="53">
        <v>4864</v>
      </c>
      <c r="AZ9" s="53">
        <v>1996</v>
      </c>
      <c r="BA9" s="53">
        <v>1838</v>
      </c>
      <c r="BB9" s="53">
        <v>2885</v>
      </c>
      <c r="BC9" s="53">
        <v>5</v>
      </c>
      <c r="BD9" s="53">
        <v>2854</v>
      </c>
      <c r="BE9" s="53">
        <v>2060</v>
      </c>
      <c r="BF9" s="53" t="s">
        <v>160</v>
      </c>
      <c r="BG9" s="53" t="s">
        <v>151</v>
      </c>
      <c r="BH9" s="53" t="s">
        <v>152</v>
      </c>
      <c r="BI9" s="53" t="s">
        <v>153</v>
      </c>
      <c r="BJ9" s="53" t="s">
        <v>153</v>
      </c>
      <c r="BK9" s="53" t="s">
        <v>188</v>
      </c>
      <c r="BL9" s="53" t="s">
        <v>189</v>
      </c>
    </row>
    <row r="10" spans="1:64" ht="21" customHeight="1">
      <c r="A10" s="53" t="s">
        <v>141</v>
      </c>
      <c r="B10" s="53">
        <v>2</v>
      </c>
      <c r="C10" s="53" t="s">
        <v>165</v>
      </c>
      <c r="D10" s="53" t="s">
        <v>190</v>
      </c>
      <c r="E10" s="53" t="s">
        <v>740</v>
      </c>
      <c r="F10" s="53">
        <v>886</v>
      </c>
      <c r="G10" s="53">
        <v>15583</v>
      </c>
      <c r="H10" s="53">
        <f t="shared" si="0"/>
        <v>5.6856831162163897E-2</v>
      </c>
      <c r="I10" s="53" t="s">
        <v>191</v>
      </c>
      <c r="J10" s="53">
        <v>3.5</v>
      </c>
      <c r="K10" s="53">
        <v>6</v>
      </c>
      <c r="L10" s="53" t="s">
        <v>192</v>
      </c>
      <c r="M10" s="53" t="s">
        <v>168</v>
      </c>
      <c r="N10" s="53">
        <v>13.9</v>
      </c>
      <c r="O10" s="53">
        <v>9.6999999999999993</v>
      </c>
      <c r="P10" s="53">
        <v>12</v>
      </c>
      <c r="Q10" s="53">
        <v>26</v>
      </c>
      <c r="R10" s="53">
        <v>276</v>
      </c>
      <c r="S10" s="53">
        <v>225.09039548022599</v>
      </c>
      <c r="T10" s="53">
        <v>29.748587570621499</v>
      </c>
      <c r="U10" s="53">
        <v>2.7225988700564998</v>
      </c>
      <c r="V10" s="53">
        <v>4.7401129943502802</v>
      </c>
      <c r="W10" s="53" t="s">
        <v>193</v>
      </c>
      <c r="X10" s="53">
        <v>1918861</v>
      </c>
      <c r="Y10" s="53">
        <v>1</v>
      </c>
      <c r="Z10" s="53">
        <v>47484.504441624398</v>
      </c>
      <c r="AA10" s="53">
        <v>0.88717632794649304</v>
      </c>
      <c r="AB10" s="53">
        <v>0.872680473361925</v>
      </c>
      <c r="AC10" s="53">
        <v>41438.799813473197</v>
      </c>
      <c r="AD10" s="53">
        <v>1294106713.1127901</v>
      </c>
      <c r="AE10" s="53">
        <v>31316</v>
      </c>
      <c r="AF10" s="53">
        <v>0.99723298999145105</v>
      </c>
      <c r="AG10" s="53">
        <v>31229.3483145723</v>
      </c>
      <c r="AH10" s="53">
        <v>2.7504441624365401</v>
      </c>
      <c r="AI10" s="53">
        <v>4.9010152284263997</v>
      </c>
      <c r="AJ10" s="53" t="s">
        <v>170</v>
      </c>
      <c r="AK10" s="53" t="s">
        <v>139</v>
      </c>
      <c r="AL10" s="53" t="s">
        <v>171</v>
      </c>
      <c r="AM10" s="53" t="s">
        <v>146</v>
      </c>
      <c r="AN10" s="53">
        <v>3.5</v>
      </c>
      <c r="AO10" s="53" t="s">
        <v>186</v>
      </c>
      <c r="AP10" s="53">
        <v>289</v>
      </c>
      <c r="AQ10" s="53">
        <v>355</v>
      </c>
      <c r="AR10" s="53">
        <v>6.9</v>
      </c>
      <c r="AS10" s="53">
        <v>180</v>
      </c>
      <c r="AT10" s="53" t="s">
        <v>148</v>
      </c>
      <c r="AU10" s="53" t="s">
        <v>149</v>
      </c>
      <c r="AV10" s="53">
        <v>10.9</v>
      </c>
      <c r="AW10" s="53" t="s">
        <v>146</v>
      </c>
      <c r="AX10" s="53">
        <v>35</v>
      </c>
      <c r="AY10" s="53">
        <v>5077</v>
      </c>
      <c r="AZ10" s="53">
        <v>1994</v>
      </c>
      <c r="BA10" s="53">
        <v>1805</v>
      </c>
      <c r="BB10" s="53">
        <v>2890</v>
      </c>
      <c r="BC10" s="53">
        <v>8</v>
      </c>
      <c r="BD10" s="53">
        <v>3166</v>
      </c>
      <c r="BE10" s="53">
        <v>2120</v>
      </c>
      <c r="BF10" s="53" t="s">
        <v>160</v>
      </c>
      <c r="BG10" s="53" t="s">
        <v>151</v>
      </c>
      <c r="BH10" s="53" t="s">
        <v>152</v>
      </c>
      <c r="BI10" s="53" t="s">
        <v>153</v>
      </c>
      <c r="BJ10" s="53" t="s">
        <v>153</v>
      </c>
      <c r="BK10" s="53" t="s">
        <v>194</v>
      </c>
      <c r="BL10" s="53" t="s">
        <v>195</v>
      </c>
    </row>
    <row r="11" spans="1:64" ht="21" customHeight="1">
      <c r="A11" s="53" t="s">
        <v>164</v>
      </c>
      <c r="B11" s="53">
        <v>3</v>
      </c>
      <c r="C11" s="53" t="s">
        <v>197</v>
      </c>
      <c r="D11" s="53" t="s">
        <v>198</v>
      </c>
      <c r="E11" s="53" t="s">
        <v>741</v>
      </c>
      <c r="F11" s="53">
        <v>586</v>
      </c>
      <c r="G11" s="53">
        <v>1009</v>
      </c>
      <c r="H11" s="53">
        <f t="shared" si="0"/>
        <v>0.58077304261645191</v>
      </c>
      <c r="I11" s="53" t="s">
        <v>198</v>
      </c>
      <c r="J11" s="53">
        <v>3.7</v>
      </c>
      <c r="K11" s="53">
        <v>6</v>
      </c>
      <c r="L11" s="53" t="s">
        <v>199</v>
      </c>
      <c r="M11" s="53" t="s">
        <v>144</v>
      </c>
      <c r="N11" s="53">
        <v>13.7</v>
      </c>
      <c r="O11" s="53">
        <v>9.8000000000000007</v>
      </c>
      <c r="P11" s="53">
        <v>11.9</v>
      </c>
      <c r="Q11" s="53">
        <v>31</v>
      </c>
      <c r="R11" s="53">
        <v>280</v>
      </c>
      <c r="S11" s="53">
        <v>225.09039548022599</v>
      </c>
      <c r="T11" s="53">
        <v>34.8020833333333</v>
      </c>
      <c r="U11" s="53">
        <v>2.7225988700564998</v>
      </c>
      <c r="V11" s="53">
        <v>4.7401129943502802</v>
      </c>
      <c r="W11" s="53" t="s">
        <v>200</v>
      </c>
      <c r="X11" s="53">
        <v>1918861</v>
      </c>
      <c r="Y11" s="53">
        <v>1</v>
      </c>
      <c r="Z11" s="53">
        <v>21915.925126903599</v>
      </c>
      <c r="AA11" s="53">
        <v>1.05442270300194</v>
      </c>
      <c r="AB11" s="53">
        <v>1.2209628607897201</v>
      </c>
      <c r="AC11" s="53">
        <v>26758.530639797402</v>
      </c>
      <c r="AD11" s="53">
        <v>1380788910.09354</v>
      </c>
      <c r="AE11" s="53">
        <v>51745</v>
      </c>
      <c r="AF11" s="53">
        <v>0.99723298999145105</v>
      </c>
      <c r="AG11" s="53">
        <v>51601.821067107601</v>
      </c>
      <c r="AH11" s="53">
        <v>2.7504441624365401</v>
      </c>
      <c r="AI11" s="53">
        <v>4.9010152284263997</v>
      </c>
      <c r="AJ11" s="53" t="s">
        <v>201</v>
      </c>
      <c r="AK11" s="53" t="s">
        <v>139</v>
      </c>
      <c r="AL11" s="53" t="s">
        <v>202</v>
      </c>
      <c r="AM11" s="53" t="s">
        <v>146</v>
      </c>
      <c r="AN11" s="53">
        <v>2</v>
      </c>
      <c r="AO11" s="53" t="s">
        <v>159</v>
      </c>
      <c r="AP11" s="53">
        <v>261</v>
      </c>
      <c r="AQ11" s="53">
        <v>380</v>
      </c>
      <c r="AR11" s="53">
        <v>7.1</v>
      </c>
      <c r="AS11" s="53">
        <v>220</v>
      </c>
      <c r="AT11" s="53" t="s">
        <v>203</v>
      </c>
      <c r="AU11" s="53" t="s">
        <v>149</v>
      </c>
      <c r="AV11" s="53">
        <v>9.1</v>
      </c>
      <c r="AW11" s="53" t="s">
        <v>146</v>
      </c>
      <c r="AX11" s="53">
        <v>38</v>
      </c>
      <c r="AY11" s="53">
        <v>4705</v>
      </c>
      <c r="AZ11" s="53">
        <v>1903</v>
      </c>
      <c r="BA11" s="53">
        <v>1681</v>
      </c>
      <c r="BB11" s="53">
        <v>2798</v>
      </c>
      <c r="BC11" s="53">
        <v>5</v>
      </c>
      <c r="BD11" s="53">
        <v>1843</v>
      </c>
      <c r="BE11" s="53">
        <v>1861</v>
      </c>
      <c r="BF11" s="53" t="s">
        <v>160</v>
      </c>
      <c r="BG11" s="53" t="s">
        <v>151</v>
      </c>
      <c r="BH11" s="53" t="s">
        <v>152</v>
      </c>
      <c r="BI11" s="53" t="s">
        <v>153</v>
      </c>
      <c r="BJ11" s="53" t="s">
        <v>153</v>
      </c>
      <c r="BK11" s="53">
        <v>2023.11</v>
      </c>
      <c r="BL11" s="53" t="s">
        <v>204</v>
      </c>
    </row>
    <row r="12" spans="1:64" ht="21" customHeight="1">
      <c r="A12" s="53" t="s">
        <v>205</v>
      </c>
      <c r="B12" s="53">
        <v>2</v>
      </c>
      <c r="C12" s="53" t="s">
        <v>197</v>
      </c>
      <c r="D12" s="53" t="s">
        <v>206</v>
      </c>
      <c r="E12" s="53" t="s">
        <v>741</v>
      </c>
      <c r="F12" s="53">
        <v>34</v>
      </c>
      <c r="G12" s="53">
        <v>1009</v>
      </c>
      <c r="H12" s="53">
        <f t="shared" si="0"/>
        <v>3.3696729435084241E-2</v>
      </c>
      <c r="I12" s="53" t="s">
        <v>206</v>
      </c>
      <c r="J12" s="53"/>
      <c r="K12" s="53"/>
      <c r="L12" s="53"/>
      <c r="M12" s="53"/>
      <c r="N12" s="53"/>
      <c r="O12" s="53"/>
      <c r="P12" s="53"/>
      <c r="Q12" s="53"/>
      <c r="R12" s="53"/>
      <c r="S12" s="53">
        <v>225.09039548022599</v>
      </c>
      <c r="T12" s="53">
        <v>34.8020833333333</v>
      </c>
      <c r="U12" s="53">
        <v>2.7225988700564998</v>
      </c>
      <c r="V12" s="53">
        <v>4.7401129943502802</v>
      </c>
      <c r="W12" s="53"/>
      <c r="X12" s="53">
        <v>1918861</v>
      </c>
      <c r="Y12" s="53">
        <v>1</v>
      </c>
      <c r="Z12" s="53">
        <v>21915.925126903599</v>
      </c>
      <c r="AA12" s="53">
        <v>1</v>
      </c>
      <c r="AB12" s="53">
        <f>AA12</f>
        <v>1</v>
      </c>
      <c r="AC12" s="53">
        <f>Z12*AB12</f>
        <v>21915.925126903599</v>
      </c>
      <c r="AD12" s="53">
        <f>AC12*AG12</f>
        <v>1130901646.9186077</v>
      </c>
      <c r="AE12" s="53">
        <v>51745</v>
      </c>
      <c r="AF12" s="53">
        <v>0.99723298999145105</v>
      </c>
      <c r="AG12" s="53">
        <f>AE12*AF12</f>
        <v>51601.821067107638</v>
      </c>
      <c r="AH12" s="53">
        <v>2.7504441624365401</v>
      </c>
      <c r="AI12" s="53">
        <v>4.9010152284263997</v>
      </c>
      <c r="AJ12" s="53" t="s">
        <v>201</v>
      </c>
      <c r="AK12" s="53" t="s">
        <v>139</v>
      </c>
      <c r="AL12" s="53" t="s">
        <v>202</v>
      </c>
      <c r="AM12" s="53" t="s">
        <v>146</v>
      </c>
      <c r="AN12" s="53">
        <v>2</v>
      </c>
      <c r="AO12" s="53" t="s">
        <v>159</v>
      </c>
      <c r="AP12" s="53">
        <v>261</v>
      </c>
      <c r="AQ12" s="53">
        <v>380</v>
      </c>
      <c r="AR12" s="53"/>
      <c r="AS12" s="53"/>
      <c r="AT12" s="53" t="s">
        <v>203</v>
      </c>
      <c r="AU12" s="53" t="s">
        <v>207</v>
      </c>
      <c r="AV12" s="53">
        <v>9.1999999999999993</v>
      </c>
      <c r="AW12" s="53" t="s">
        <v>146</v>
      </c>
      <c r="AX12" s="53"/>
      <c r="AY12" s="53">
        <v>4736</v>
      </c>
      <c r="AZ12" s="53">
        <v>1903</v>
      </c>
      <c r="BA12" s="53">
        <v>1622</v>
      </c>
      <c r="BB12" s="53">
        <v>2798</v>
      </c>
      <c r="BC12" s="53">
        <v>5</v>
      </c>
      <c r="BD12" s="53"/>
      <c r="BE12" s="53">
        <v>1910</v>
      </c>
      <c r="BF12" s="53" t="s">
        <v>160</v>
      </c>
      <c r="BG12" s="53" t="s">
        <v>151</v>
      </c>
      <c r="BH12" s="53" t="s">
        <v>208</v>
      </c>
      <c r="BI12" s="53" t="s">
        <v>153</v>
      </c>
      <c r="BJ12" s="53" t="s">
        <v>153</v>
      </c>
      <c r="BK12" s="53" t="s">
        <v>209</v>
      </c>
      <c r="BL12" s="53" t="s">
        <v>210</v>
      </c>
    </row>
    <row r="13" spans="1:64" ht="21" customHeight="1">
      <c r="A13" s="53" t="s">
        <v>164</v>
      </c>
      <c r="B13" s="53">
        <v>3</v>
      </c>
      <c r="C13" s="53" t="s">
        <v>197</v>
      </c>
      <c r="D13" s="53" t="s">
        <v>211</v>
      </c>
      <c r="E13" s="53" t="s">
        <v>740</v>
      </c>
      <c r="F13" s="53">
        <v>282</v>
      </c>
      <c r="G13" s="53">
        <v>1009</v>
      </c>
      <c r="H13" s="53">
        <f t="shared" si="0"/>
        <v>0.27948463825569869</v>
      </c>
      <c r="I13" s="53" t="s">
        <v>211</v>
      </c>
      <c r="J13" s="53">
        <v>3.5</v>
      </c>
      <c r="K13" s="53">
        <v>6</v>
      </c>
      <c r="L13" s="53" t="s">
        <v>212</v>
      </c>
      <c r="M13" s="53" t="s">
        <v>213</v>
      </c>
      <c r="N13" s="53">
        <v>12.5</v>
      </c>
      <c r="O13" s="53">
        <v>9.3000000000000007</v>
      </c>
      <c r="P13" s="53">
        <v>11</v>
      </c>
      <c r="Q13" s="53">
        <v>33</v>
      </c>
      <c r="R13" s="53">
        <v>257</v>
      </c>
      <c r="S13" s="53">
        <v>286.96511627907</v>
      </c>
      <c r="T13" s="53">
        <v>29.748587570621499</v>
      </c>
      <c r="U13" s="53">
        <v>4.2279069767441797</v>
      </c>
      <c r="V13" s="53">
        <v>6.5581395348837201</v>
      </c>
      <c r="W13" s="53" t="s">
        <v>214</v>
      </c>
      <c r="X13" s="53">
        <v>1918861</v>
      </c>
      <c r="Y13" s="53">
        <v>1</v>
      </c>
      <c r="Z13" s="53">
        <v>21915.925126903599</v>
      </c>
      <c r="AA13" s="53">
        <v>1.4036108959812399</v>
      </c>
      <c r="AB13" s="53">
        <v>1.4070086948318501</v>
      </c>
      <c r="AC13" s="53">
        <v>24253.689849005401</v>
      </c>
      <c r="AD13" s="53">
        <v>1359227042.8647101</v>
      </c>
      <c r="AE13" s="53">
        <v>51745</v>
      </c>
      <c r="AF13" s="53">
        <v>1.39394887577808</v>
      </c>
      <c r="AG13" s="53">
        <v>72129.884577136807</v>
      </c>
      <c r="AH13" s="53">
        <v>2.7504441624365401</v>
      </c>
      <c r="AI13" s="53">
        <v>4.9010152284263997</v>
      </c>
      <c r="AJ13" s="53" t="s">
        <v>201</v>
      </c>
      <c r="AK13" s="53" t="s">
        <v>139</v>
      </c>
      <c r="AL13" s="53" t="s">
        <v>202</v>
      </c>
      <c r="AM13" s="53" t="s">
        <v>146</v>
      </c>
      <c r="AN13" s="53">
        <v>2</v>
      </c>
      <c r="AO13" s="53" t="s">
        <v>159</v>
      </c>
      <c r="AP13" s="53">
        <v>252</v>
      </c>
      <c r="AQ13" s="53">
        <v>376</v>
      </c>
      <c r="AR13" s="53">
        <v>7.8</v>
      </c>
      <c r="AS13" s="53">
        <v>190</v>
      </c>
      <c r="AT13" s="53" t="s">
        <v>148</v>
      </c>
      <c r="AU13" s="53" t="s">
        <v>149</v>
      </c>
      <c r="AV13" s="53">
        <v>9.8000000000000007</v>
      </c>
      <c r="AW13" s="53" t="s">
        <v>146</v>
      </c>
      <c r="AX13" s="53">
        <v>38</v>
      </c>
      <c r="AY13" s="53">
        <v>5127</v>
      </c>
      <c r="AZ13" s="53">
        <v>2005</v>
      </c>
      <c r="BA13" s="53">
        <v>1767</v>
      </c>
      <c r="BB13" s="53">
        <v>2900</v>
      </c>
      <c r="BC13" s="53">
        <v>7</v>
      </c>
      <c r="BD13" s="53">
        <v>2135</v>
      </c>
      <c r="BE13" s="53">
        <v>2171</v>
      </c>
      <c r="BF13" s="53" t="s">
        <v>160</v>
      </c>
      <c r="BG13" s="53" t="s">
        <v>151</v>
      </c>
      <c r="BH13" s="53" t="s">
        <v>152</v>
      </c>
      <c r="BI13" s="53" t="s">
        <v>153</v>
      </c>
      <c r="BJ13" s="53" t="s">
        <v>153</v>
      </c>
      <c r="BK13" s="53">
        <v>2023.11</v>
      </c>
      <c r="BL13" s="53" t="s">
        <v>215</v>
      </c>
    </row>
    <row r="14" spans="1:64" ht="21" customHeight="1">
      <c r="A14" s="53" t="s">
        <v>141</v>
      </c>
      <c r="B14" s="53">
        <v>2</v>
      </c>
      <c r="C14" s="53" t="s">
        <v>197</v>
      </c>
      <c r="D14" s="53" t="s">
        <v>216</v>
      </c>
      <c r="E14" s="53" t="s">
        <v>742</v>
      </c>
      <c r="F14" s="53">
        <v>107</v>
      </c>
      <c r="G14" s="53">
        <v>1009</v>
      </c>
      <c r="H14" s="53">
        <f t="shared" si="0"/>
        <v>0.10604558969276512</v>
      </c>
      <c r="I14" s="53" t="s">
        <v>216</v>
      </c>
      <c r="J14" s="53">
        <v>5.6</v>
      </c>
      <c r="K14" s="53">
        <v>8</v>
      </c>
      <c r="L14" s="53" t="s">
        <v>217</v>
      </c>
      <c r="M14" s="53" t="s">
        <v>144</v>
      </c>
      <c r="N14" s="53">
        <v>17.8</v>
      </c>
      <c r="O14" s="53">
        <v>12.3</v>
      </c>
      <c r="P14" s="53">
        <v>15.3</v>
      </c>
      <c r="Q14" s="53">
        <v>19</v>
      </c>
      <c r="R14" s="53">
        <v>360</v>
      </c>
      <c r="S14" s="53">
        <v>286.96511627907</v>
      </c>
      <c r="T14" s="53">
        <v>24.569767441860499</v>
      </c>
      <c r="U14" s="53">
        <v>4.2279069767441797</v>
      </c>
      <c r="V14" s="53">
        <v>6.5581395348837201</v>
      </c>
      <c r="W14" s="53" t="s">
        <v>218</v>
      </c>
      <c r="X14" s="53">
        <v>1918861</v>
      </c>
      <c r="Y14" s="53">
        <v>1</v>
      </c>
      <c r="Z14" s="53">
        <v>13393.0653553299</v>
      </c>
      <c r="AA14" s="53">
        <v>0.81115865625983596</v>
      </c>
      <c r="AB14" s="53">
        <v>0.81312227306973595</v>
      </c>
      <c r="AC14" s="53">
        <v>10890.1997450974</v>
      </c>
      <c r="AD14" s="53">
        <v>785508850.63584101</v>
      </c>
      <c r="AE14" s="53">
        <v>51745</v>
      </c>
      <c r="AF14" s="53">
        <v>1.39394887577808</v>
      </c>
      <c r="AG14" s="53">
        <v>72129.884577136807</v>
      </c>
      <c r="AH14" s="53">
        <v>2.7504441624365401</v>
      </c>
      <c r="AI14" s="53">
        <v>4.9010152284263997</v>
      </c>
      <c r="AJ14" s="53" t="s">
        <v>201</v>
      </c>
      <c r="AK14" s="53" t="s">
        <v>139</v>
      </c>
      <c r="AL14" s="53" t="s">
        <v>202</v>
      </c>
      <c r="AM14" s="53" t="s">
        <v>146</v>
      </c>
      <c r="AN14" s="53">
        <v>3.5</v>
      </c>
      <c r="AO14" s="53" t="s">
        <v>219</v>
      </c>
      <c r="AP14" s="53">
        <v>431</v>
      </c>
      <c r="AQ14" s="53">
        <v>700</v>
      </c>
      <c r="AR14" s="53">
        <v>5.9</v>
      </c>
      <c r="AS14" s="53">
        <v>210</v>
      </c>
      <c r="AT14" s="53" t="s">
        <v>148</v>
      </c>
      <c r="AU14" s="53" t="s">
        <v>220</v>
      </c>
      <c r="AV14" s="53">
        <v>11.7</v>
      </c>
      <c r="AW14" s="53" t="s">
        <v>146</v>
      </c>
      <c r="AX14" s="53">
        <v>36</v>
      </c>
      <c r="AY14" s="53">
        <v>5365</v>
      </c>
      <c r="AZ14" s="53">
        <v>2030</v>
      </c>
      <c r="BA14" s="53">
        <v>1945</v>
      </c>
      <c r="BB14" s="53">
        <v>3075</v>
      </c>
      <c r="BC14" s="53">
        <v>8</v>
      </c>
      <c r="BD14" s="53">
        <v>2860</v>
      </c>
      <c r="BE14" s="53">
        <v>2925</v>
      </c>
      <c r="BF14" s="53" t="s">
        <v>150</v>
      </c>
      <c r="BG14" s="53" t="s">
        <v>150</v>
      </c>
      <c r="BH14" s="53" t="s">
        <v>152</v>
      </c>
      <c r="BI14" s="53" t="s">
        <v>153</v>
      </c>
      <c r="BJ14" s="53" t="s">
        <v>153</v>
      </c>
      <c r="BK14" s="53" t="s">
        <v>221</v>
      </c>
      <c r="BL14" s="53" t="s">
        <v>222</v>
      </c>
    </row>
    <row r="15" spans="1:64" ht="21" customHeight="1">
      <c r="A15" s="53" t="s">
        <v>164</v>
      </c>
      <c r="B15" s="53">
        <v>3</v>
      </c>
      <c r="C15" s="53" t="s">
        <v>223</v>
      </c>
      <c r="D15" s="53" t="s">
        <v>224</v>
      </c>
      <c r="E15" s="53" t="s">
        <v>740</v>
      </c>
      <c r="F15" s="53">
        <v>151</v>
      </c>
      <c r="G15" s="53">
        <v>4217</v>
      </c>
      <c r="H15" s="53">
        <f t="shared" si="0"/>
        <v>3.5807446051695516E-2</v>
      </c>
      <c r="I15" s="53" t="s">
        <v>224</v>
      </c>
      <c r="J15" s="53">
        <v>4.5999999999999996</v>
      </c>
      <c r="K15" s="53">
        <v>8</v>
      </c>
      <c r="L15" s="53" t="s">
        <v>225</v>
      </c>
      <c r="M15" s="53" t="s">
        <v>144</v>
      </c>
      <c r="N15" s="53">
        <v>16.2</v>
      </c>
      <c r="O15" s="53">
        <v>12.9</v>
      </c>
      <c r="P15" s="53">
        <v>14.6</v>
      </c>
      <c r="Q15" s="53">
        <v>20</v>
      </c>
      <c r="R15" s="53">
        <v>341</v>
      </c>
      <c r="S15" s="53">
        <v>286.96511627907</v>
      </c>
      <c r="T15" s="53">
        <v>24.569767441860499</v>
      </c>
      <c r="U15" s="53">
        <v>4.2279069767441797</v>
      </c>
      <c r="V15" s="53">
        <v>6.5581395348837201</v>
      </c>
      <c r="W15" s="53" t="s">
        <v>226</v>
      </c>
      <c r="X15" s="53">
        <v>1918861</v>
      </c>
      <c r="Y15" s="53">
        <v>1</v>
      </c>
      <c r="Z15" s="53">
        <v>25568.579314720799</v>
      </c>
      <c r="AA15" s="53">
        <v>0.85538725353294698</v>
      </c>
      <c r="AB15" s="53">
        <v>0.83881820453426903</v>
      </c>
      <c r="AC15" s="53">
        <v>21447.3897932662</v>
      </c>
      <c r="AD15" s="53">
        <v>1519193944.9208</v>
      </c>
      <c r="AE15" s="53">
        <v>50815</v>
      </c>
      <c r="AF15" s="53">
        <v>1.39394887577808</v>
      </c>
      <c r="AG15" s="53">
        <v>70833.512122663204</v>
      </c>
      <c r="AH15" s="53">
        <v>2.7504441624365401</v>
      </c>
      <c r="AI15" s="53">
        <v>4.9010152284263997</v>
      </c>
      <c r="AJ15" s="53" t="s">
        <v>227</v>
      </c>
      <c r="AK15" s="53" t="s">
        <v>139</v>
      </c>
      <c r="AL15" s="53" t="s">
        <v>228</v>
      </c>
      <c r="AM15" s="53" t="s">
        <v>229</v>
      </c>
      <c r="AN15" s="53">
        <v>2.4</v>
      </c>
      <c r="AO15" s="53" t="s">
        <v>159</v>
      </c>
      <c r="AP15" s="53">
        <v>282</v>
      </c>
      <c r="AQ15" s="53">
        <v>430</v>
      </c>
      <c r="AR15" s="53">
        <v>8.5</v>
      </c>
      <c r="AS15" s="53">
        <v>175</v>
      </c>
      <c r="AT15" s="53" t="s">
        <v>148</v>
      </c>
      <c r="AU15" s="53" t="s">
        <v>187</v>
      </c>
      <c r="AV15" s="53">
        <v>10.36</v>
      </c>
      <c r="AW15" s="53" t="s">
        <v>229</v>
      </c>
      <c r="AX15" s="53">
        <v>40</v>
      </c>
      <c r="AY15" s="53">
        <v>4970</v>
      </c>
      <c r="AZ15" s="53">
        <v>2000</v>
      </c>
      <c r="BA15" s="53">
        <v>1935</v>
      </c>
      <c r="BB15" s="53">
        <v>2850</v>
      </c>
      <c r="BC15" s="53">
        <v>6</v>
      </c>
      <c r="BD15" s="53">
        <v>2177</v>
      </c>
      <c r="BE15" s="53">
        <v>2540</v>
      </c>
      <c r="BF15" s="53" t="s">
        <v>150</v>
      </c>
      <c r="BG15" s="53" t="s">
        <v>230</v>
      </c>
      <c r="BH15" s="53" t="s">
        <v>152</v>
      </c>
      <c r="BI15" s="53" t="s">
        <v>153</v>
      </c>
      <c r="BJ15" s="53" t="s">
        <v>153</v>
      </c>
      <c r="BK15" s="53">
        <v>2024.01</v>
      </c>
      <c r="BL15" s="53" t="s">
        <v>231</v>
      </c>
    </row>
    <row r="16" spans="1:64" ht="21" customHeight="1">
      <c r="A16" s="53" t="s">
        <v>164</v>
      </c>
      <c r="B16" s="53">
        <v>3</v>
      </c>
      <c r="C16" s="53" t="s">
        <v>223</v>
      </c>
      <c r="D16" s="53" t="s">
        <v>232</v>
      </c>
      <c r="E16" s="53" t="s">
        <v>742</v>
      </c>
      <c r="F16" s="53">
        <v>77</v>
      </c>
      <c r="G16" s="53">
        <v>4217</v>
      </c>
      <c r="H16" s="53">
        <f t="shared" si="0"/>
        <v>1.8259426132321555E-2</v>
      </c>
      <c r="I16" s="53" t="s">
        <v>232</v>
      </c>
      <c r="J16" s="53">
        <v>5.7</v>
      </c>
      <c r="K16" s="53">
        <v>8</v>
      </c>
      <c r="L16" s="53" t="s">
        <v>233</v>
      </c>
      <c r="M16" s="53" t="s">
        <v>144</v>
      </c>
      <c r="N16" s="53">
        <v>19.2</v>
      </c>
      <c r="O16" s="53">
        <v>14.3</v>
      </c>
      <c r="P16" s="53">
        <v>16.899999999999999</v>
      </c>
      <c r="Q16" s="53">
        <v>18</v>
      </c>
      <c r="R16" s="53">
        <v>395</v>
      </c>
      <c r="S16" s="53">
        <v>286.96511627907</v>
      </c>
      <c r="T16" s="53">
        <v>24.569767441860499</v>
      </c>
      <c r="U16" s="53">
        <v>4.2279069767441797</v>
      </c>
      <c r="V16" s="53">
        <v>6.5581395348837201</v>
      </c>
      <c r="W16" s="53" t="s">
        <v>234</v>
      </c>
      <c r="X16" s="53">
        <v>1918861</v>
      </c>
      <c r="Y16" s="53">
        <v>1</v>
      </c>
      <c r="Z16" s="53">
        <v>25568.579314720799</v>
      </c>
      <c r="AA16" s="53">
        <v>0.75304927314141501</v>
      </c>
      <c r="AB16" s="53">
        <v>0.73846253449927901</v>
      </c>
      <c r="AC16" s="53">
        <v>18881.437884294599</v>
      </c>
      <c r="AD16" s="53">
        <v>1337438559.2704899</v>
      </c>
      <c r="AE16" s="53">
        <v>50815</v>
      </c>
      <c r="AF16" s="53">
        <v>1.39394887577808</v>
      </c>
      <c r="AG16" s="53">
        <v>70833.512122663204</v>
      </c>
      <c r="AH16" s="53">
        <v>2.7504441624365401</v>
      </c>
      <c r="AI16" s="53">
        <v>4.9010152284263997</v>
      </c>
      <c r="AJ16" s="53" t="s">
        <v>227</v>
      </c>
      <c r="AK16" s="53" t="s">
        <v>139</v>
      </c>
      <c r="AL16" s="53" t="s">
        <v>228</v>
      </c>
      <c r="AM16" s="53" t="s">
        <v>229</v>
      </c>
      <c r="AN16" s="53">
        <v>3.5</v>
      </c>
      <c r="AO16" s="53" t="s">
        <v>219</v>
      </c>
      <c r="AP16" s="53">
        <v>408</v>
      </c>
      <c r="AQ16" s="53">
        <v>650</v>
      </c>
      <c r="AR16" s="53">
        <v>6.5</v>
      </c>
      <c r="AS16" s="53">
        <v>210</v>
      </c>
      <c r="AT16" s="53" t="s">
        <v>148</v>
      </c>
      <c r="AU16" s="53" t="s">
        <v>187</v>
      </c>
      <c r="AV16" s="53">
        <v>11</v>
      </c>
      <c r="AW16" s="53" t="s">
        <v>229</v>
      </c>
      <c r="AX16" s="53">
        <v>40</v>
      </c>
      <c r="AY16" s="53">
        <v>5115</v>
      </c>
      <c r="AZ16" s="53">
        <v>1990</v>
      </c>
      <c r="BA16" s="53">
        <v>1895</v>
      </c>
      <c r="BB16" s="53">
        <v>2850</v>
      </c>
      <c r="BC16" s="53">
        <v>7</v>
      </c>
      <c r="BD16" s="53">
        <v>2010</v>
      </c>
      <c r="BE16" s="53">
        <v>2840</v>
      </c>
      <c r="BF16" s="53" t="s">
        <v>150</v>
      </c>
      <c r="BG16" s="53" t="s">
        <v>230</v>
      </c>
      <c r="BH16" s="53" t="s">
        <v>152</v>
      </c>
      <c r="BI16" s="53" t="s">
        <v>153</v>
      </c>
      <c r="BJ16" s="53" t="s">
        <v>153</v>
      </c>
      <c r="BK16" s="53">
        <v>2024.11</v>
      </c>
      <c r="BL16" s="53" t="s">
        <v>235</v>
      </c>
    </row>
    <row r="17" spans="1:64" ht="21" customHeight="1">
      <c r="A17" s="53" t="s">
        <v>164</v>
      </c>
      <c r="B17" s="53">
        <v>3</v>
      </c>
      <c r="C17" s="53" t="s">
        <v>223</v>
      </c>
      <c r="D17" s="53" t="s">
        <v>236</v>
      </c>
      <c r="E17" s="53" t="s">
        <v>741</v>
      </c>
      <c r="F17" s="53">
        <v>1559</v>
      </c>
      <c r="G17" s="53">
        <v>4217</v>
      </c>
      <c r="H17" s="53">
        <f t="shared" si="0"/>
        <v>0.36969409532843256</v>
      </c>
      <c r="I17" s="53" t="s">
        <v>236</v>
      </c>
      <c r="J17" s="53">
        <v>2.5</v>
      </c>
      <c r="K17" s="53">
        <v>4</v>
      </c>
      <c r="L17" s="53" t="s">
        <v>237</v>
      </c>
      <c r="M17" s="53" t="s">
        <v>213</v>
      </c>
      <c r="N17" s="53">
        <v>10.8</v>
      </c>
      <c r="O17" s="53">
        <v>8.9</v>
      </c>
      <c r="P17" s="53">
        <v>9.9</v>
      </c>
      <c r="Q17" s="53">
        <v>38</v>
      </c>
      <c r="R17" s="53">
        <v>232</v>
      </c>
      <c r="S17" s="53">
        <v>225.09039548022599</v>
      </c>
      <c r="T17" s="53">
        <v>29.748587570621499</v>
      </c>
      <c r="U17" s="53">
        <v>2.7225988700564998</v>
      </c>
      <c r="V17" s="53">
        <v>4.7401129943502802</v>
      </c>
      <c r="W17" s="53" t="s">
        <v>238</v>
      </c>
      <c r="X17" s="53">
        <v>1918861</v>
      </c>
      <c r="Y17" s="53">
        <v>1</v>
      </c>
      <c r="Z17" s="53">
        <v>38961.644670050802</v>
      </c>
      <c r="AA17" s="53">
        <v>1.3007163597675899</v>
      </c>
      <c r="AB17" s="53">
        <v>1.29591011412251</v>
      </c>
      <c r="AC17" s="53">
        <v>50490.789390766098</v>
      </c>
      <c r="AD17" s="53">
        <v>2558590174.46913</v>
      </c>
      <c r="AE17" s="53">
        <v>50815</v>
      </c>
      <c r="AF17" s="53">
        <v>0.99723298999145105</v>
      </c>
      <c r="AG17" s="53">
        <v>50674.394386415603</v>
      </c>
      <c r="AH17" s="53">
        <v>2.7504441624365401</v>
      </c>
      <c r="AI17" s="53">
        <v>4.9010152284263997</v>
      </c>
      <c r="AJ17" s="53" t="s">
        <v>227</v>
      </c>
      <c r="AK17" s="53" t="s">
        <v>139</v>
      </c>
      <c r="AL17" s="53" t="s">
        <v>228</v>
      </c>
      <c r="AM17" s="53" t="s">
        <v>239</v>
      </c>
      <c r="AN17" s="53">
        <v>2.5</v>
      </c>
      <c r="AO17" s="53" t="s">
        <v>186</v>
      </c>
      <c r="AP17" s="53">
        <v>203</v>
      </c>
      <c r="AQ17" s="53">
        <v>241</v>
      </c>
      <c r="AR17" s="53">
        <v>8.6999999999999993</v>
      </c>
      <c r="AS17" s="53">
        <v>200</v>
      </c>
      <c r="AT17" s="53" t="s">
        <v>240</v>
      </c>
      <c r="AU17" s="53" t="s">
        <v>149</v>
      </c>
      <c r="AV17" s="53">
        <v>6.84</v>
      </c>
      <c r="AW17" s="53" t="s">
        <v>239</v>
      </c>
      <c r="AX17" s="53">
        <v>41</v>
      </c>
      <c r="AY17" s="53">
        <v>4660</v>
      </c>
      <c r="AZ17" s="53">
        <v>1865</v>
      </c>
      <c r="BA17" s="53">
        <v>1670</v>
      </c>
      <c r="BB17" s="53">
        <v>2690</v>
      </c>
      <c r="BC17" s="53">
        <v>5</v>
      </c>
      <c r="BD17" s="53">
        <v>1328</v>
      </c>
      <c r="BE17" s="53">
        <v>1940</v>
      </c>
      <c r="BF17" s="53" t="s">
        <v>160</v>
      </c>
      <c r="BG17" s="53" t="s">
        <v>151</v>
      </c>
      <c r="BH17" s="53" t="s">
        <v>152</v>
      </c>
      <c r="BI17" s="53" t="s">
        <v>153</v>
      </c>
      <c r="BJ17" s="53" t="s">
        <v>153</v>
      </c>
      <c r="BK17" s="53">
        <v>2024.04</v>
      </c>
      <c r="BL17" s="53" t="s">
        <v>241</v>
      </c>
    </row>
    <row r="18" spans="1:64" ht="21" customHeight="1">
      <c r="A18" s="53" t="s">
        <v>164</v>
      </c>
      <c r="B18" s="53">
        <v>3</v>
      </c>
      <c r="C18" s="53" t="s">
        <v>223</v>
      </c>
      <c r="D18" s="53" t="s">
        <v>242</v>
      </c>
      <c r="E18" s="53" t="s">
        <v>740</v>
      </c>
      <c r="F18" s="53">
        <v>1549</v>
      </c>
      <c r="G18" s="53">
        <v>4217</v>
      </c>
      <c r="H18" s="53">
        <f t="shared" si="0"/>
        <v>0.36732274128527387</v>
      </c>
      <c r="I18" s="53" t="s">
        <v>242</v>
      </c>
      <c r="J18" s="53">
        <v>3.5</v>
      </c>
      <c r="K18" s="53">
        <v>6</v>
      </c>
      <c r="L18" s="53" t="s">
        <v>243</v>
      </c>
      <c r="M18" s="53" t="s">
        <v>213</v>
      </c>
      <c r="N18" s="53">
        <v>13.3</v>
      </c>
      <c r="O18" s="53">
        <v>9.8000000000000007</v>
      </c>
      <c r="P18" s="53">
        <v>11.7</v>
      </c>
      <c r="Q18" s="53">
        <v>36</v>
      </c>
      <c r="R18" s="53">
        <v>269</v>
      </c>
      <c r="S18" s="53">
        <v>286.96511627907</v>
      </c>
      <c r="T18" s="53">
        <v>29.748587570621499</v>
      </c>
      <c r="U18" s="53">
        <v>4.2279069767441797</v>
      </c>
      <c r="V18" s="53">
        <v>6.5581395348837201</v>
      </c>
      <c r="W18" s="53" t="s">
        <v>244</v>
      </c>
      <c r="X18" s="53">
        <v>1918861</v>
      </c>
      <c r="Y18" s="53">
        <v>1</v>
      </c>
      <c r="Z18" s="53">
        <v>38961.644670050802</v>
      </c>
      <c r="AA18" s="53">
        <v>1.5081890621732601</v>
      </c>
      <c r="AB18" s="53">
        <v>1.4789750911125401</v>
      </c>
      <c r="AC18" s="53">
        <v>45297.627580640001</v>
      </c>
      <c r="AD18" s="53">
        <v>2678589938.7512202</v>
      </c>
      <c r="AE18" s="53">
        <v>50815</v>
      </c>
      <c r="AF18" s="53">
        <v>1.39394887577808</v>
      </c>
      <c r="AG18" s="53">
        <v>70833.512122663204</v>
      </c>
      <c r="AH18" s="53">
        <v>2.7504441624365401</v>
      </c>
      <c r="AI18" s="53">
        <v>4.9010152284263997</v>
      </c>
      <c r="AJ18" s="53" t="s">
        <v>227</v>
      </c>
      <c r="AK18" s="53" t="s">
        <v>139</v>
      </c>
      <c r="AL18" s="53" t="s">
        <v>228</v>
      </c>
      <c r="AM18" s="53" t="s">
        <v>239</v>
      </c>
      <c r="AN18" s="53">
        <v>2.5</v>
      </c>
      <c r="AO18" s="53" t="s">
        <v>147</v>
      </c>
      <c r="AP18" s="53">
        <v>271</v>
      </c>
      <c r="AQ18" s="53">
        <v>460</v>
      </c>
      <c r="AR18" s="53">
        <v>8.1</v>
      </c>
      <c r="AS18" s="53">
        <v>210</v>
      </c>
      <c r="AT18" s="53" t="s">
        <v>240</v>
      </c>
      <c r="AU18" s="53" t="s">
        <v>149</v>
      </c>
      <c r="AV18" s="53">
        <v>8.86</v>
      </c>
      <c r="AW18" s="53" t="s">
        <v>239</v>
      </c>
      <c r="AX18" s="53">
        <v>41</v>
      </c>
      <c r="AY18" s="53">
        <v>4890</v>
      </c>
      <c r="AZ18" s="53">
        <v>1920</v>
      </c>
      <c r="BA18" s="53">
        <v>1695</v>
      </c>
      <c r="BB18" s="53">
        <v>2850</v>
      </c>
      <c r="BC18" s="53">
        <v>5</v>
      </c>
      <c r="BD18" s="53">
        <v>1308</v>
      </c>
      <c r="BE18" s="53">
        <v>2165</v>
      </c>
      <c r="BF18" s="53" t="s">
        <v>160</v>
      </c>
      <c r="BG18" s="53" t="s">
        <v>151</v>
      </c>
      <c r="BH18" s="53" t="s">
        <v>152</v>
      </c>
      <c r="BI18" s="53" t="s">
        <v>153</v>
      </c>
      <c r="BJ18" s="53" t="s">
        <v>153</v>
      </c>
      <c r="BK18" s="53">
        <v>2023.02</v>
      </c>
      <c r="BL18" s="53" t="s">
        <v>245</v>
      </c>
    </row>
    <row r="19" spans="1:64" ht="21" customHeight="1">
      <c r="A19" s="53" t="s">
        <v>205</v>
      </c>
      <c r="B19" s="53">
        <v>2</v>
      </c>
      <c r="C19" s="53" t="s">
        <v>223</v>
      </c>
      <c r="D19" s="53" t="s">
        <v>246</v>
      </c>
      <c r="E19" s="53" t="s">
        <v>741</v>
      </c>
      <c r="F19" s="53">
        <v>68</v>
      </c>
      <c r="G19" s="53">
        <v>4217</v>
      </c>
      <c r="H19" s="53">
        <f t="shared" si="0"/>
        <v>1.6125207493478778E-2</v>
      </c>
      <c r="I19" s="53" t="s">
        <v>246</v>
      </c>
      <c r="J19" s="53"/>
      <c r="K19" s="53"/>
      <c r="L19" s="53"/>
      <c r="M19" s="53"/>
      <c r="N19" s="53"/>
      <c r="O19" s="53"/>
      <c r="P19" s="53"/>
      <c r="Q19" s="53"/>
      <c r="R19" s="53"/>
      <c r="S19" s="53">
        <v>225.09039548022599</v>
      </c>
      <c r="T19" s="53">
        <v>29.748587570621499</v>
      </c>
      <c r="U19" s="53">
        <v>2.7225988700564998</v>
      </c>
      <c r="V19" s="53">
        <v>4.7401129943502802</v>
      </c>
      <c r="W19" s="53"/>
      <c r="X19" s="53">
        <v>1918861</v>
      </c>
      <c r="Y19" s="53">
        <v>1</v>
      </c>
      <c r="Z19" s="53">
        <v>38961.644670050802</v>
      </c>
      <c r="AA19" s="53">
        <v>1</v>
      </c>
      <c r="AB19" s="53">
        <f>AA19</f>
        <v>1</v>
      </c>
      <c r="AC19" s="53">
        <f>Z19*AB19</f>
        <v>38961.644670050802</v>
      </c>
      <c r="AD19" s="53">
        <f>AC19*AG19</f>
        <v>1974357747.9535413</v>
      </c>
      <c r="AE19" s="53">
        <v>50815</v>
      </c>
      <c r="AF19" s="53">
        <v>0.99723298999145105</v>
      </c>
      <c r="AG19" s="53">
        <f>AE19*AF19</f>
        <v>50674.394386415588</v>
      </c>
      <c r="AH19" s="53">
        <v>2.7504441624365401</v>
      </c>
      <c r="AI19" s="53">
        <v>4.9010152284263997</v>
      </c>
      <c r="AJ19" s="53" t="s">
        <v>227</v>
      </c>
      <c r="AK19" s="53" t="s">
        <v>139</v>
      </c>
      <c r="AL19" s="53" t="s">
        <v>228</v>
      </c>
      <c r="AM19" s="53" t="s">
        <v>247</v>
      </c>
      <c r="AN19" s="53"/>
      <c r="AO19" s="53"/>
      <c r="AP19" s="53"/>
      <c r="AQ19" s="53">
        <v>434.8</v>
      </c>
      <c r="AR19" s="53"/>
      <c r="AS19" s="53"/>
      <c r="AT19" s="53" t="s">
        <v>248</v>
      </c>
      <c r="AU19" s="53" t="s">
        <v>249</v>
      </c>
      <c r="AV19" s="53"/>
      <c r="AW19" s="53"/>
      <c r="AX19" s="53"/>
      <c r="AY19" s="53">
        <v>4805</v>
      </c>
      <c r="AZ19" s="53">
        <v>1895</v>
      </c>
      <c r="BA19" s="53">
        <v>1635</v>
      </c>
      <c r="BB19" s="53">
        <v>2850</v>
      </c>
      <c r="BC19" s="53">
        <v>5</v>
      </c>
      <c r="BD19" s="53"/>
      <c r="BE19" s="53">
        <v>2110</v>
      </c>
      <c r="BF19" s="53" t="s">
        <v>160</v>
      </c>
      <c r="BG19" s="53" t="s">
        <v>151</v>
      </c>
      <c r="BH19" s="53" t="s">
        <v>152</v>
      </c>
      <c r="BI19" s="53" t="s">
        <v>153</v>
      </c>
      <c r="BJ19" s="53" t="s">
        <v>153</v>
      </c>
      <c r="BK19" s="53" t="s">
        <v>250</v>
      </c>
      <c r="BL19" s="53" t="s">
        <v>251</v>
      </c>
    </row>
    <row r="20" spans="1:64" ht="21" customHeight="1">
      <c r="A20" s="53" t="s">
        <v>164</v>
      </c>
      <c r="B20" s="53">
        <v>3</v>
      </c>
      <c r="C20" s="53" t="s">
        <v>223</v>
      </c>
      <c r="D20" s="53" t="s">
        <v>253</v>
      </c>
      <c r="E20" s="53" t="s">
        <v>739</v>
      </c>
      <c r="F20" s="53">
        <v>199</v>
      </c>
      <c r="G20" s="53">
        <v>4217</v>
      </c>
      <c r="H20" s="53">
        <f t="shared" si="0"/>
        <v>4.7189945458857005E-2</v>
      </c>
      <c r="I20" s="53" t="s">
        <v>253</v>
      </c>
      <c r="J20" s="53">
        <v>2</v>
      </c>
      <c r="K20" s="53">
        <v>4</v>
      </c>
      <c r="L20" s="53" t="s">
        <v>254</v>
      </c>
      <c r="M20" s="53" t="s">
        <v>168</v>
      </c>
      <c r="N20" s="53">
        <v>8</v>
      </c>
      <c r="O20" s="53">
        <v>6.3</v>
      </c>
      <c r="P20" s="53">
        <v>7.2</v>
      </c>
      <c r="Q20" s="53">
        <v>50</v>
      </c>
      <c r="R20" s="53">
        <v>168</v>
      </c>
      <c r="S20" s="53">
        <v>197.065491183879</v>
      </c>
      <c r="T20" s="53">
        <v>35.844827586206897</v>
      </c>
      <c r="U20" s="53">
        <v>2.6853904282115799</v>
      </c>
      <c r="V20" s="53">
        <v>4.8312342569269502</v>
      </c>
      <c r="W20" s="53" t="s">
        <v>255</v>
      </c>
      <c r="X20" s="53">
        <v>1918861</v>
      </c>
      <c r="Y20" s="53">
        <v>1</v>
      </c>
      <c r="Z20" s="53">
        <v>25568.579314720799</v>
      </c>
      <c r="AA20" s="53">
        <v>1</v>
      </c>
      <c r="AB20" s="53">
        <f>AA20</f>
        <v>1</v>
      </c>
      <c r="AC20" s="53">
        <f>Z20*AB20</f>
        <v>25568.579314720799</v>
      </c>
      <c r="AD20" s="53">
        <f>AC20*AG20</f>
        <v>1229400065.2156923</v>
      </c>
      <c r="AE20" s="53">
        <v>50815</v>
      </c>
      <c r="AF20" s="53">
        <v>0.946225623049609</v>
      </c>
      <c r="AG20" s="53">
        <f>AE20*AF20</f>
        <v>48082.455035265884</v>
      </c>
      <c r="AH20" s="53">
        <v>2.7504441624365401</v>
      </c>
      <c r="AI20" s="53">
        <v>4.9010152284263997</v>
      </c>
      <c r="AJ20" s="53" t="s">
        <v>227</v>
      </c>
      <c r="AK20" s="53" t="s">
        <v>139</v>
      </c>
      <c r="AL20" s="53" t="s">
        <v>228</v>
      </c>
      <c r="AM20" s="53" t="s">
        <v>229</v>
      </c>
      <c r="AN20" s="53">
        <v>2</v>
      </c>
      <c r="AO20" s="53" t="s">
        <v>186</v>
      </c>
      <c r="AP20" s="53">
        <v>152</v>
      </c>
      <c r="AQ20" s="53">
        <v>188</v>
      </c>
      <c r="AR20" s="53"/>
      <c r="AS20" s="53"/>
      <c r="AT20" s="53" t="s">
        <v>256</v>
      </c>
      <c r="AU20" s="53" t="s">
        <v>180</v>
      </c>
      <c r="AV20" s="53">
        <v>4.7699999999999996</v>
      </c>
      <c r="AW20" s="53" t="s">
        <v>229</v>
      </c>
      <c r="AX20" s="53"/>
      <c r="AY20" s="53">
        <v>4495</v>
      </c>
      <c r="AZ20" s="53">
        <v>1840</v>
      </c>
      <c r="BA20" s="53">
        <v>1540</v>
      </c>
      <c r="BB20" s="53">
        <v>2640</v>
      </c>
      <c r="BC20" s="53">
        <v>5</v>
      </c>
      <c r="BD20" s="53"/>
      <c r="BE20" s="53">
        <v>1545</v>
      </c>
      <c r="BF20" s="53" t="s">
        <v>160</v>
      </c>
      <c r="BG20" s="53" t="s">
        <v>151</v>
      </c>
      <c r="BH20" s="53" t="s">
        <v>152</v>
      </c>
      <c r="BI20" s="53" t="s">
        <v>153</v>
      </c>
      <c r="BJ20" s="53" t="s">
        <v>153</v>
      </c>
      <c r="BK20" s="53" t="s">
        <v>257</v>
      </c>
      <c r="BL20" s="53" t="s">
        <v>258</v>
      </c>
    </row>
    <row r="21" spans="1:64" ht="21" customHeight="1">
      <c r="A21" s="53" t="s">
        <v>164</v>
      </c>
      <c r="B21" s="53">
        <v>3</v>
      </c>
      <c r="C21" s="53" t="s">
        <v>259</v>
      </c>
      <c r="D21" s="53" t="s">
        <v>260</v>
      </c>
      <c r="E21" s="53" t="s">
        <v>739</v>
      </c>
      <c r="F21" s="53">
        <v>2485</v>
      </c>
      <c r="G21" s="53">
        <v>9613</v>
      </c>
      <c r="H21" s="53">
        <f t="shared" si="0"/>
        <v>0.2585041090190367</v>
      </c>
      <c r="I21" s="53" t="s">
        <v>260</v>
      </c>
      <c r="J21" s="53">
        <v>2.5</v>
      </c>
      <c r="K21" s="53">
        <v>4</v>
      </c>
      <c r="L21" s="53" t="s">
        <v>225</v>
      </c>
      <c r="M21" s="53" t="s">
        <v>168</v>
      </c>
      <c r="N21" s="53">
        <v>9.9</v>
      </c>
      <c r="O21" s="53">
        <v>7.7</v>
      </c>
      <c r="P21" s="53">
        <v>8.9</v>
      </c>
      <c r="Q21" s="53">
        <v>35</v>
      </c>
      <c r="R21" s="53">
        <v>208</v>
      </c>
      <c r="S21" s="53">
        <v>225.09039548022599</v>
      </c>
      <c r="T21" s="53">
        <v>29.748587570621499</v>
      </c>
      <c r="U21" s="53">
        <v>2.7225988700564998</v>
      </c>
      <c r="V21" s="53">
        <v>4.7401129943502802</v>
      </c>
      <c r="W21" s="53" t="s">
        <v>261</v>
      </c>
      <c r="X21" s="53">
        <v>1918861</v>
      </c>
      <c r="Y21" s="53">
        <v>1</v>
      </c>
      <c r="Z21" s="53">
        <v>62095.121192893399</v>
      </c>
      <c r="AA21" s="53">
        <v>1.1837404595859999</v>
      </c>
      <c r="AB21" s="53">
        <v>1.1232974990773099</v>
      </c>
      <c r="AC21" s="53">
        <v>69751.294340879394</v>
      </c>
      <c r="AD21" s="53">
        <v>1756346868.2360599</v>
      </c>
      <c r="AE21" s="53">
        <v>25250</v>
      </c>
      <c r="AF21" s="53">
        <v>0.99723298999145105</v>
      </c>
      <c r="AG21" s="53">
        <v>25180.132997284101</v>
      </c>
      <c r="AH21" s="53">
        <v>2.7504441624365401</v>
      </c>
      <c r="AI21" s="53">
        <v>4.9010152284263997</v>
      </c>
      <c r="AJ21" s="53" t="s">
        <v>262</v>
      </c>
      <c r="AK21" s="53" t="s">
        <v>139</v>
      </c>
      <c r="AL21" s="53" t="s">
        <v>263</v>
      </c>
      <c r="AM21" s="53" t="s">
        <v>146</v>
      </c>
      <c r="AN21" s="53">
        <v>2</v>
      </c>
      <c r="AO21" s="53" t="s">
        <v>186</v>
      </c>
      <c r="AP21" s="53">
        <v>158</v>
      </c>
      <c r="AQ21" s="53">
        <v>202</v>
      </c>
      <c r="AR21" s="53">
        <v>8.8000000000000007</v>
      </c>
      <c r="AS21" s="53">
        <v>204</v>
      </c>
      <c r="AT21" s="53" t="s">
        <v>264</v>
      </c>
      <c r="AU21" s="53" t="s">
        <v>180</v>
      </c>
      <c r="AV21" s="53">
        <v>7.1</v>
      </c>
      <c r="AW21" s="53" t="s">
        <v>146</v>
      </c>
      <c r="AX21" s="53">
        <v>40</v>
      </c>
      <c r="AY21" s="53">
        <v>4395</v>
      </c>
      <c r="AZ21" s="53">
        <v>1797</v>
      </c>
      <c r="BA21" s="53">
        <v>1545</v>
      </c>
      <c r="BB21" s="53">
        <v>2653</v>
      </c>
      <c r="BC21" s="53">
        <v>5</v>
      </c>
      <c r="BD21" s="53">
        <v>1280</v>
      </c>
      <c r="BE21" s="53">
        <v>1442</v>
      </c>
      <c r="BF21" s="53" t="s">
        <v>160</v>
      </c>
      <c r="BG21" s="53" t="s">
        <v>265</v>
      </c>
      <c r="BH21" s="53" t="s">
        <v>152</v>
      </c>
      <c r="BI21" s="53" t="s">
        <v>266</v>
      </c>
      <c r="BJ21" s="53" t="s">
        <v>153</v>
      </c>
      <c r="BK21" s="53">
        <v>2024.07</v>
      </c>
      <c r="BL21" s="53" t="s">
        <v>267</v>
      </c>
    </row>
    <row r="22" spans="1:64" ht="21" customHeight="1">
      <c r="A22" s="53" t="s">
        <v>164</v>
      </c>
      <c r="B22" s="53">
        <v>3</v>
      </c>
      <c r="C22" s="53" t="s">
        <v>259</v>
      </c>
      <c r="D22" s="53" t="s">
        <v>268</v>
      </c>
      <c r="E22" s="53" t="s">
        <v>741</v>
      </c>
      <c r="F22" s="53">
        <v>3888</v>
      </c>
      <c r="G22" s="53">
        <v>9613</v>
      </c>
      <c r="H22" s="53">
        <f t="shared" si="0"/>
        <v>0.40445230417143452</v>
      </c>
      <c r="I22" s="53" t="s">
        <v>268</v>
      </c>
      <c r="J22" s="53">
        <v>2.5</v>
      </c>
      <c r="K22" s="53">
        <v>4</v>
      </c>
      <c r="L22" s="53" t="s">
        <v>269</v>
      </c>
      <c r="M22" s="53" t="s">
        <v>270</v>
      </c>
      <c r="N22" s="53">
        <v>10.8</v>
      </c>
      <c r="O22" s="53">
        <v>8.6999999999999993</v>
      </c>
      <c r="P22" s="53">
        <v>9.8000000000000007</v>
      </c>
      <c r="Q22" s="53">
        <v>35</v>
      </c>
      <c r="R22" s="53">
        <v>230</v>
      </c>
      <c r="S22" s="53">
        <v>225.09039548022599</v>
      </c>
      <c r="T22" s="53">
        <v>29.748587570621499</v>
      </c>
      <c r="U22" s="53">
        <v>2.7225988700564998</v>
      </c>
      <c r="V22" s="53">
        <v>4.7401129943502802</v>
      </c>
      <c r="W22" s="53" t="s">
        <v>271</v>
      </c>
      <c r="X22" s="53">
        <v>1918861</v>
      </c>
      <c r="Y22" s="53">
        <v>1</v>
      </c>
      <c r="Z22" s="53">
        <v>62095.121192893399</v>
      </c>
      <c r="AA22" s="53">
        <v>1.199921906236</v>
      </c>
      <c r="AB22" s="53">
        <v>1.13865270503163</v>
      </c>
      <c r="AC22" s="53">
        <v>70704.777715554694</v>
      </c>
      <c r="AD22" s="53">
        <v>1780355706.4210801</v>
      </c>
      <c r="AE22" s="53">
        <v>25250</v>
      </c>
      <c r="AF22" s="53">
        <v>0.99723298999145105</v>
      </c>
      <c r="AG22" s="53">
        <v>25180.132997284101</v>
      </c>
      <c r="AH22" s="53">
        <v>2.7504441624365401</v>
      </c>
      <c r="AI22" s="53">
        <v>4.9010152284263997</v>
      </c>
      <c r="AJ22" s="53" t="s">
        <v>262</v>
      </c>
      <c r="AK22" s="53" t="s">
        <v>139</v>
      </c>
      <c r="AL22" s="53" t="s">
        <v>263</v>
      </c>
      <c r="AM22" s="53" t="s">
        <v>146</v>
      </c>
      <c r="AN22" s="53">
        <v>2.5</v>
      </c>
      <c r="AO22" s="53" t="s">
        <v>186</v>
      </c>
      <c r="AP22" s="53">
        <v>196</v>
      </c>
      <c r="AQ22" s="53">
        <v>252</v>
      </c>
      <c r="AR22" s="53">
        <v>8.9</v>
      </c>
      <c r="AS22" s="53">
        <v>194</v>
      </c>
      <c r="AT22" s="53" t="s">
        <v>148</v>
      </c>
      <c r="AU22" s="53" t="s">
        <v>149</v>
      </c>
      <c r="AV22" s="53">
        <v>7.7</v>
      </c>
      <c r="AW22" s="53" t="s">
        <v>146</v>
      </c>
      <c r="AX22" s="53">
        <v>40</v>
      </c>
      <c r="AY22" s="53">
        <v>4575</v>
      </c>
      <c r="AZ22" s="53">
        <v>1842</v>
      </c>
      <c r="BA22" s="53">
        <v>1685</v>
      </c>
      <c r="BB22" s="53">
        <v>2700</v>
      </c>
      <c r="BC22" s="53">
        <v>5</v>
      </c>
      <c r="BD22" s="53">
        <v>1680</v>
      </c>
      <c r="BE22" s="53">
        <v>1677</v>
      </c>
      <c r="BF22" s="53" t="s">
        <v>160</v>
      </c>
      <c r="BG22" s="53" t="s">
        <v>151</v>
      </c>
      <c r="BH22" s="53" t="s">
        <v>152</v>
      </c>
      <c r="BI22" s="53" t="s">
        <v>153</v>
      </c>
      <c r="BJ22" s="53" t="s">
        <v>153</v>
      </c>
      <c r="BK22" s="53">
        <v>2023.09</v>
      </c>
      <c r="BL22" s="53" t="s">
        <v>272</v>
      </c>
    </row>
    <row r="23" spans="1:64" ht="21" customHeight="1">
      <c r="A23" s="53" t="s">
        <v>205</v>
      </c>
      <c r="B23" s="53">
        <v>2</v>
      </c>
      <c r="C23" s="53" t="s">
        <v>259</v>
      </c>
      <c r="D23" s="53" t="s">
        <v>273</v>
      </c>
      <c r="E23" s="53" t="s">
        <v>741</v>
      </c>
      <c r="F23" s="53">
        <v>93</v>
      </c>
      <c r="G23" s="53">
        <v>9613</v>
      </c>
      <c r="H23" s="53">
        <f t="shared" si="0"/>
        <v>9.6743992510142512E-3</v>
      </c>
      <c r="I23" s="53" t="s">
        <v>273</v>
      </c>
      <c r="J23" s="53"/>
      <c r="K23" s="53"/>
      <c r="L23" s="53"/>
      <c r="M23" s="53"/>
      <c r="N23" s="53"/>
      <c r="O23" s="53"/>
      <c r="P23" s="53"/>
      <c r="Q23" s="53"/>
      <c r="R23" s="53"/>
      <c r="S23" s="53">
        <v>225.09039548022599</v>
      </c>
      <c r="T23" s="53">
        <v>29.748587570621499</v>
      </c>
      <c r="U23" s="53">
        <v>2.7225988700564998</v>
      </c>
      <c r="V23" s="53">
        <v>4.7401129943502802</v>
      </c>
      <c r="W23" s="53"/>
      <c r="X23" s="53">
        <v>1918861</v>
      </c>
      <c r="Y23" s="53">
        <v>1</v>
      </c>
      <c r="Z23" s="53">
        <v>62095.121192893399</v>
      </c>
      <c r="AA23" s="53">
        <v>1</v>
      </c>
      <c r="AB23" s="53">
        <f>AA23</f>
        <v>1</v>
      </c>
      <c r="AC23" s="53">
        <f>Z23*AB23</f>
        <v>62095.121192893399</v>
      </c>
      <c r="AD23" s="53">
        <f>AC23*AG23</f>
        <v>1563563410.1195326</v>
      </c>
      <c r="AE23" s="53">
        <v>25250</v>
      </c>
      <c r="AF23" s="53">
        <v>0.99723298999145105</v>
      </c>
      <c r="AG23" s="53">
        <f>AE23*AF23</f>
        <v>25180.132997284138</v>
      </c>
      <c r="AH23" s="53">
        <v>2.7504441624365401</v>
      </c>
      <c r="AI23" s="53">
        <v>4.9010152284263997</v>
      </c>
      <c r="AJ23" s="53" t="s">
        <v>262</v>
      </c>
      <c r="AK23" s="53" t="s">
        <v>139</v>
      </c>
      <c r="AL23" s="53" t="s">
        <v>263</v>
      </c>
      <c r="AM23" s="53" t="s">
        <v>274</v>
      </c>
      <c r="AN23" s="53">
        <v>2.5</v>
      </c>
      <c r="AO23" s="53" t="s">
        <v>186</v>
      </c>
      <c r="AP23" s="53">
        <v>188</v>
      </c>
      <c r="AQ23" s="53">
        <v>250</v>
      </c>
      <c r="AR23" s="53"/>
      <c r="AS23" s="53"/>
      <c r="AT23" s="53" t="s">
        <v>275</v>
      </c>
      <c r="AU23" s="53" t="s">
        <v>207</v>
      </c>
      <c r="AV23" s="53">
        <v>7.4</v>
      </c>
      <c r="AW23" s="53" t="s">
        <v>274</v>
      </c>
      <c r="AX23" s="53"/>
      <c r="AY23" s="53">
        <v>4785</v>
      </c>
      <c r="AZ23" s="53">
        <v>1920</v>
      </c>
      <c r="BA23" s="53">
        <v>1670</v>
      </c>
      <c r="BB23" s="53">
        <v>2815</v>
      </c>
      <c r="BC23" s="53">
        <v>5</v>
      </c>
      <c r="BD23" s="53"/>
      <c r="BE23" s="53">
        <v>1807</v>
      </c>
      <c r="BF23" s="53" t="s">
        <v>160</v>
      </c>
      <c r="BG23" s="53" t="s">
        <v>265</v>
      </c>
      <c r="BH23" s="53" t="s">
        <v>152</v>
      </c>
      <c r="BI23" s="53" t="s">
        <v>153</v>
      </c>
      <c r="BJ23" s="53" t="s">
        <v>153</v>
      </c>
      <c r="BK23" s="53" t="s">
        <v>276</v>
      </c>
      <c r="BL23" s="53" t="s">
        <v>277</v>
      </c>
    </row>
    <row r="24" spans="1:64" ht="21" customHeight="1">
      <c r="A24" s="53" t="s">
        <v>279</v>
      </c>
      <c r="B24" s="53">
        <v>2</v>
      </c>
      <c r="C24" s="53" t="s">
        <v>259</v>
      </c>
      <c r="D24" s="53" t="s">
        <v>280</v>
      </c>
      <c r="E24" s="53" t="s">
        <v>740</v>
      </c>
      <c r="F24" s="53">
        <v>1102</v>
      </c>
      <c r="G24" s="53">
        <v>9613</v>
      </c>
      <c r="H24" s="53">
        <f t="shared" si="0"/>
        <v>0.11463642983459899</v>
      </c>
      <c r="I24" s="53"/>
      <c r="J24" s="53">
        <v>3.7</v>
      </c>
      <c r="K24" s="53">
        <v>6</v>
      </c>
      <c r="L24" s="53" t="s">
        <v>225</v>
      </c>
      <c r="M24" s="53" t="s">
        <v>168</v>
      </c>
      <c r="N24" s="53">
        <v>14.3</v>
      </c>
      <c r="O24" s="53">
        <v>10.6</v>
      </c>
      <c r="P24" s="53">
        <v>12.7</v>
      </c>
      <c r="Q24" s="53">
        <v>29</v>
      </c>
      <c r="R24" s="53">
        <v>292</v>
      </c>
      <c r="S24" s="53">
        <v>225.09039548022599</v>
      </c>
      <c r="T24" s="53">
        <v>29.748587570621499</v>
      </c>
      <c r="U24" s="53">
        <v>2.7225988700564998</v>
      </c>
      <c r="V24" s="53">
        <v>4.7401129943502802</v>
      </c>
      <c r="W24" s="53" t="s">
        <v>281</v>
      </c>
      <c r="X24" s="53">
        <v>1918861</v>
      </c>
      <c r="Y24" s="53">
        <v>1</v>
      </c>
      <c r="Z24" s="53">
        <v>62095.121192893399</v>
      </c>
      <c r="AA24" s="53">
        <v>0.98761897779091601</v>
      </c>
      <c r="AB24" s="53">
        <v>0.93719017442541397</v>
      </c>
      <c r="AC24" s="53">
        <v>58194.937461734997</v>
      </c>
      <c r="AD24" s="53">
        <v>1465356265.05512</v>
      </c>
      <c r="AE24" s="53">
        <v>25250</v>
      </c>
      <c r="AF24" s="53">
        <v>0.99723298999145105</v>
      </c>
      <c r="AG24" s="53">
        <v>25180.132997284101</v>
      </c>
      <c r="AH24" s="53">
        <v>2.7504441624365401</v>
      </c>
      <c r="AI24" s="53">
        <v>4.9010152284263997</v>
      </c>
      <c r="AJ24" s="53" t="s">
        <v>262</v>
      </c>
      <c r="AK24" s="53" t="s">
        <v>139</v>
      </c>
      <c r="AL24" s="53" t="s">
        <v>263</v>
      </c>
      <c r="AM24" s="53" t="s">
        <v>146</v>
      </c>
      <c r="AN24" s="53">
        <v>3.7</v>
      </c>
      <c r="AO24" s="53" t="s">
        <v>186</v>
      </c>
      <c r="AP24" s="53">
        <v>268</v>
      </c>
      <c r="AQ24" s="53">
        <v>360</v>
      </c>
      <c r="AR24" s="53">
        <v>10.1</v>
      </c>
      <c r="AS24" s="53">
        <v>192</v>
      </c>
      <c r="AT24" s="53" t="s">
        <v>148</v>
      </c>
      <c r="AU24" s="53" t="s">
        <v>149</v>
      </c>
      <c r="AV24" s="53">
        <v>9.3000000000000007</v>
      </c>
      <c r="AW24" s="53" t="s">
        <v>146</v>
      </c>
      <c r="AX24" s="53">
        <v>35</v>
      </c>
      <c r="AY24" s="53">
        <v>5096</v>
      </c>
      <c r="AZ24" s="53">
        <v>1936</v>
      </c>
      <c r="BA24" s="53">
        <v>1735</v>
      </c>
      <c r="BB24" s="53">
        <v>2875</v>
      </c>
      <c r="BC24" s="53">
        <v>7</v>
      </c>
      <c r="BD24" s="53">
        <v>2016</v>
      </c>
      <c r="BE24" s="53">
        <v>2063</v>
      </c>
      <c r="BF24" s="53" t="s">
        <v>160</v>
      </c>
      <c r="BG24" s="53" t="s">
        <v>151</v>
      </c>
      <c r="BH24" s="53" t="s">
        <v>152</v>
      </c>
      <c r="BI24" s="53" t="s">
        <v>153</v>
      </c>
      <c r="BJ24" s="53" t="s">
        <v>153</v>
      </c>
      <c r="BK24" s="53">
        <v>2007.01</v>
      </c>
      <c r="BL24" s="53" t="s">
        <v>282</v>
      </c>
    </row>
    <row r="25" spans="1:64" ht="21" customHeight="1">
      <c r="A25" s="53" t="s">
        <v>141</v>
      </c>
      <c r="B25" s="53">
        <v>2</v>
      </c>
      <c r="C25" s="53" t="s">
        <v>283</v>
      </c>
      <c r="D25" s="53" t="s">
        <v>284</v>
      </c>
      <c r="E25" s="53" t="s">
        <v>739</v>
      </c>
      <c r="F25" s="53">
        <v>1166</v>
      </c>
      <c r="G25" s="53">
        <v>3195</v>
      </c>
      <c r="H25" s="53">
        <f t="shared" si="0"/>
        <v>0.36494522691705789</v>
      </c>
      <c r="I25" s="53" t="s">
        <v>284</v>
      </c>
      <c r="J25" s="53">
        <v>2.4</v>
      </c>
      <c r="K25" s="53">
        <v>4</v>
      </c>
      <c r="L25" s="53" t="s">
        <v>285</v>
      </c>
      <c r="M25" s="53" t="s">
        <v>168</v>
      </c>
      <c r="N25" s="53">
        <v>10.5</v>
      </c>
      <c r="O25" s="53">
        <v>8.6</v>
      </c>
      <c r="P25" s="53">
        <v>9.6</v>
      </c>
      <c r="Q25" s="53">
        <v>34</v>
      </c>
      <c r="R25" s="53">
        <v>223</v>
      </c>
      <c r="S25" s="53">
        <v>225.09039548022599</v>
      </c>
      <c r="T25" s="53">
        <v>29.748587570621499</v>
      </c>
      <c r="U25" s="53">
        <v>2.7225988700564998</v>
      </c>
      <c r="V25" s="53">
        <v>4.7401129943502802</v>
      </c>
      <c r="W25" s="53" t="s">
        <v>286</v>
      </c>
      <c r="X25" s="53">
        <v>1918861</v>
      </c>
      <c r="Y25" s="53">
        <v>1</v>
      </c>
      <c r="Z25" s="53">
        <v>54789.812817258899</v>
      </c>
      <c r="AA25" s="53">
        <v>1</v>
      </c>
      <c r="AB25" s="53">
        <f>AA25</f>
        <v>1</v>
      </c>
      <c r="AC25" s="53">
        <f>Z25*AB25</f>
        <v>54789.812817258899</v>
      </c>
      <c r="AD25" s="53">
        <f>AC25*AG25</f>
        <v>1628109347.5157316</v>
      </c>
      <c r="AE25" s="53">
        <v>29798</v>
      </c>
      <c r="AF25" s="53">
        <v>0.99723298999145105</v>
      </c>
      <c r="AG25" s="53">
        <f>AE25*AF25</f>
        <v>29715.548635765259</v>
      </c>
      <c r="AH25" s="53">
        <v>2.7504441624365401</v>
      </c>
      <c r="AI25" s="53">
        <v>4.9010152284263997</v>
      </c>
      <c r="AJ25" s="53" t="s">
        <v>287</v>
      </c>
      <c r="AK25" s="53" t="s">
        <v>139</v>
      </c>
      <c r="AL25" s="53" t="s">
        <v>288</v>
      </c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</row>
    <row r="26" spans="1:64" ht="21" customHeight="1">
      <c r="A26" s="53" t="s">
        <v>141</v>
      </c>
      <c r="B26" s="53">
        <v>2</v>
      </c>
      <c r="C26" s="53" t="s">
        <v>283</v>
      </c>
      <c r="D26" s="53" t="s">
        <v>289</v>
      </c>
      <c r="E26" s="53" t="s">
        <v>741</v>
      </c>
      <c r="F26" s="53">
        <v>409</v>
      </c>
      <c r="G26" s="53">
        <v>3195</v>
      </c>
      <c r="H26" s="53">
        <f t="shared" si="0"/>
        <v>0.12801251956181534</v>
      </c>
      <c r="I26" s="53" t="s">
        <v>290</v>
      </c>
      <c r="J26" s="53">
        <v>1.5</v>
      </c>
      <c r="K26" s="53">
        <v>4</v>
      </c>
      <c r="L26" s="53" t="s">
        <v>291</v>
      </c>
      <c r="M26" s="53" t="s">
        <v>168</v>
      </c>
      <c r="N26" s="53">
        <v>9.6</v>
      </c>
      <c r="O26" s="53">
        <v>8.9</v>
      </c>
      <c r="P26" s="53">
        <v>9.3000000000000007</v>
      </c>
      <c r="Q26" s="53">
        <v>32</v>
      </c>
      <c r="R26" s="53">
        <v>216</v>
      </c>
      <c r="S26" s="53">
        <v>225.09039548022599</v>
      </c>
      <c r="T26" s="53">
        <v>29.748587570621499</v>
      </c>
      <c r="U26" s="53">
        <v>2.7225988700564998</v>
      </c>
      <c r="V26" s="53">
        <v>4.7401129943502802</v>
      </c>
      <c r="W26" s="53" t="s">
        <v>292</v>
      </c>
      <c r="X26" s="53">
        <v>1918861</v>
      </c>
      <c r="Y26" s="53">
        <v>1</v>
      </c>
      <c r="Z26" s="53">
        <v>54789.812817258899</v>
      </c>
      <c r="AA26" s="53">
        <v>1.0789233423487501</v>
      </c>
      <c r="AB26" s="53">
        <v>1.03418602672917</v>
      </c>
      <c r="AC26" s="53">
        <v>56662.858822715702</v>
      </c>
      <c r="AD26" s="53">
        <v>1683767937.1879101</v>
      </c>
      <c r="AE26" s="53">
        <v>29798</v>
      </c>
      <c r="AF26" s="53">
        <v>0.99723298999145105</v>
      </c>
      <c r="AG26" s="53">
        <v>29715.548635765201</v>
      </c>
      <c r="AH26" s="53">
        <v>2.7504441624365401</v>
      </c>
      <c r="AI26" s="53">
        <v>4.9010152284263997</v>
      </c>
      <c r="AJ26" s="53" t="s">
        <v>287</v>
      </c>
      <c r="AK26" s="53" t="s">
        <v>139</v>
      </c>
      <c r="AL26" s="53" t="s">
        <v>288</v>
      </c>
      <c r="AM26" s="53" t="s">
        <v>146</v>
      </c>
      <c r="AN26" s="53">
        <v>1.5</v>
      </c>
      <c r="AO26" s="53" t="s">
        <v>159</v>
      </c>
      <c r="AP26" s="53">
        <v>154</v>
      </c>
      <c r="AQ26" s="53">
        <v>250</v>
      </c>
      <c r="AR26" s="53">
        <v>9.3000000000000007</v>
      </c>
      <c r="AS26" s="53">
        <v>195</v>
      </c>
      <c r="AT26" s="53" t="s">
        <v>203</v>
      </c>
      <c r="AU26" s="53" t="s">
        <v>187</v>
      </c>
      <c r="AV26" s="53">
        <v>8.1</v>
      </c>
      <c r="AW26" s="53" t="s">
        <v>146</v>
      </c>
      <c r="AX26" s="53">
        <v>37</v>
      </c>
      <c r="AY26" s="53">
        <v>4547</v>
      </c>
      <c r="AZ26" s="53">
        <v>1805</v>
      </c>
      <c r="BA26" s="53">
        <v>1685</v>
      </c>
      <c r="BB26" s="53">
        <v>2670</v>
      </c>
      <c r="BC26" s="53">
        <v>5</v>
      </c>
      <c r="BD26" s="53">
        <v>1419</v>
      </c>
      <c r="BE26" s="53">
        <v>1622</v>
      </c>
      <c r="BF26" s="53" t="s">
        <v>160</v>
      </c>
      <c r="BG26" s="53" t="s">
        <v>151</v>
      </c>
      <c r="BH26" s="53" t="s">
        <v>152</v>
      </c>
      <c r="BI26" s="53" t="s">
        <v>153</v>
      </c>
      <c r="BJ26" s="53" t="s">
        <v>153</v>
      </c>
      <c r="BK26" s="53" t="s">
        <v>293</v>
      </c>
      <c r="BL26" s="53" t="s">
        <v>294</v>
      </c>
    </row>
    <row r="27" spans="1:64" ht="21" customHeight="1">
      <c r="A27" s="53" t="s">
        <v>141</v>
      </c>
      <c r="B27" s="53">
        <v>2</v>
      </c>
      <c r="C27" s="53" t="s">
        <v>283</v>
      </c>
      <c r="D27" s="53" t="s">
        <v>295</v>
      </c>
      <c r="E27" s="53" t="s">
        <v>741</v>
      </c>
      <c r="F27" s="53">
        <v>1620</v>
      </c>
      <c r="G27" s="53">
        <v>3195</v>
      </c>
      <c r="H27" s="53">
        <f t="shared" si="0"/>
        <v>0.50704225352112675</v>
      </c>
      <c r="I27" s="53" t="s">
        <v>296</v>
      </c>
      <c r="J27" s="53">
        <v>3</v>
      </c>
      <c r="K27" s="53">
        <v>6</v>
      </c>
      <c r="L27" s="53" t="s">
        <v>297</v>
      </c>
      <c r="M27" s="53" t="s">
        <v>213</v>
      </c>
      <c r="N27" s="53">
        <v>12</v>
      </c>
      <c r="O27" s="53">
        <v>8.8000000000000007</v>
      </c>
      <c r="P27" s="53">
        <v>10.6</v>
      </c>
      <c r="Q27" s="53">
        <v>34</v>
      </c>
      <c r="R27" s="53">
        <v>248</v>
      </c>
      <c r="S27" s="53">
        <v>225.09039548022599</v>
      </c>
      <c r="T27" s="53">
        <v>29.748587570621499</v>
      </c>
      <c r="U27" s="53">
        <v>2.7225988700564998</v>
      </c>
      <c r="V27" s="53">
        <v>4.7401129943502802</v>
      </c>
      <c r="W27" s="53" t="s">
        <v>298</v>
      </c>
      <c r="X27" s="53">
        <v>1918861</v>
      </c>
      <c r="Y27" s="53">
        <v>1</v>
      </c>
      <c r="Z27" s="53">
        <v>54789.812817258899</v>
      </c>
      <c r="AA27" s="53">
        <v>1.1545914417985901</v>
      </c>
      <c r="AB27" s="53">
        <v>1.1067165653213</v>
      </c>
      <c r="AC27" s="53">
        <v>60636.7934557138</v>
      </c>
      <c r="AD27" s="53">
        <v>1801855585.0501201</v>
      </c>
      <c r="AE27" s="53">
        <v>29798</v>
      </c>
      <c r="AF27" s="53">
        <v>0.99723298999145105</v>
      </c>
      <c r="AG27" s="53">
        <v>29715.548635765201</v>
      </c>
      <c r="AH27" s="53">
        <v>2.7504441624365401</v>
      </c>
      <c r="AI27" s="53">
        <v>4.9010152284263997</v>
      </c>
      <c r="AJ27" s="53" t="s">
        <v>287</v>
      </c>
      <c r="AK27" s="53" t="s">
        <v>139</v>
      </c>
      <c r="AL27" s="53" t="s">
        <v>288</v>
      </c>
      <c r="AM27" s="53" t="s">
        <v>299</v>
      </c>
      <c r="AN27" s="53">
        <v>2.4</v>
      </c>
      <c r="AO27" s="53" t="s">
        <v>147</v>
      </c>
      <c r="AP27" s="53">
        <v>251</v>
      </c>
      <c r="AQ27" s="53">
        <v>450</v>
      </c>
      <c r="AR27" s="53">
        <v>7</v>
      </c>
      <c r="AS27" s="53">
        <v>170</v>
      </c>
      <c r="AT27" s="53" t="s">
        <v>300</v>
      </c>
      <c r="AU27" s="53" t="s">
        <v>149</v>
      </c>
      <c r="AV27" s="53">
        <v>8.3000000000000007</v>
      </c>
      <c r="AW27" s="53" t="s">
        <v>299</v>
      </c>
      <c r="AX27" s="53">
        <v>40</v>
      </c>
      <c r="AY27" s="53">
        <v>4710</v>
      </c>
      <c r="AZ27" s="53">
        <v>1862</v>
      </c>
      <c r="BA27" s="53">
        <v>1746</v>
      </c>
      <c r="BB27" s="53">
        <v>2706</v>
      </c>
      <c r="BC27" s="53">
        <v>7</v>
      </c>
      <c r="BD27" s="53">
        <v>1821</v>
      </c>
      <c r="BE27" s="53">
        <v>2090</v>
      </c>
      <c r="BF27" s="53" t="s">
        <v>160</v>
      </c>
      <c r="BG27" s="53" t="s">
        <v>151</v>
      </c>
      <c r="BH27" s="53" t="s">
        <v>152</v>
      </c>
      <c r="BI27" s="53" t="s">
        <v>153</v>
      </c>
      <c r="BJ27" s="53" t="s">
        <v>153</v>
      </c>
      <c r="BK27" s="53" t="s">
        <v>301</v>
      </c>
      <c r="BL27" s="53" t="s">
        <v>302</v>
      </c>
    </row>
    <row r="28" spans="1:64" ht="21" customHeight="1">
      <c r="A28" s="53" t="s">
        <v>141</v>
      </c>
      <c r="B28" s="53">
        <v>2</v>
      </c>
      <c r="C28" s="53" t="s">
        <v>303</v>
      </c>
      <c r="D28" s="53" t="s">
        <v>307</v>
      </c>
      <c r="E28" s="53" t="s">
        <v>742</v>
      </c>
      <c r="F28" s="53">
        <v>60</v>
      </c>
      <c r="G28" s="53">
        <v>9331</v>
      </c>
      <c r="H28" s="53">
        <f t="shared" si="0"/>
        <v>6.4301789733147569E-3</v>
      </c>
      <c r="I28" s="53" t="s">
        <v>307</v>
      </c>
      <c r="J28" s="53">
        <v>5.6</v>
      </c>
      <c r="K28" s="53">
        <v>8</v>
      </c>
      <c r="L28" s="53" t="s">
        <v>308</v>
      </c>
      <c r="M28" s="53" t="s">
        <v>168</v>
      </c>
      <c r="N28" s="53">
        <v>19.2</v>
      </c>
      <c r="O28" s="53">
        <v>13.4</v>
      </c>
      <c r="P28" s="53">
        <v>16.600000000000001</v>
      </c>
      <c r="Q28" s="53">
        <v>18</v>
      </c>
      <c r="R28" s="53">
        <v>382</v>
      </c>
      <c r="S28" s="53">
        <v>286.96511627907</v>
      </c>
      <c r="T28" s="53">
        <v>24.569767441860499</v>
      </c>
      <c r="U28" s="53">
        <v>4.2279069767441797</v>
      </c>
      <c r="V28" s="53">
        <v>6.5581395348837201</v>
      </c>
      <c r="W28" s="53" t="s">
        <v>309</v>
      </c>
      <c r="X28" s="53">
        <v>1918861</v>
      </c>
      <c r="Y28" s="53">
        <v>1</v>
      </c>
      <c r="Z28" s="53">
        <v>9740.4111675126896</v>
      </c>
      <c r="AA28" s="53">
        <v>0.76266449125622904</v>
      </c>
      <c r="AB28" s="53">
        <v>0.84545400092975198</v>
      </c>
      <c r="AC28" s="53">
        <v>8235.0695922744399</v>
      </c>
      <c r="AD28" s="53">
        <v>274331498.87051398</v>
      </c>
      <c r="AE28" s="53">
        <v>23898</v>
      </c>
      <c r="AF28" s="53">
        <v>1.39394887577808</v>
      </c>
      <c r="AG28" s="53">
        <v>33312.590233344599</v>
      </c>
      <c r="AH28" s="53">
        <v>2.7504441624365401</v>
      </c>
      <c r="AI28" s="53">
        <v>4.9010152284263997</v>
      </c>
      <c r="AJ28" s="53" t="s">
        <v>305</v>
      </c>
      <c r="AK28" s="53" t="s">
        <v>139</v>
      </c>
      <c r="AL28" s="53" t="s">
        <v>306</v>
      </c>
      <c r="AM28" s="53" t="s">
        <v>146</v>
      </c>
      <c r="AN28" s="53">
        <v>3.5</v>
      </c>
      <c r="AO28" s="53" t="s">
        <v>219</v>
      </c>
      <c r="AP28" s="53">
        <v>431</v>
      </c>
      <c r="AQ28" s="53">
        <v>700</v>
      </c>
      <c r="AR28" s="53">
        <v>6</v>
      </c>
      <c r="AS28" s="53">
        <v>210</v>
      </c>
      <c r="AT28" s="53" t="s">
        <v>148</v>
      </c>
      <c r="AU28" s="53" t="s">
        <v>220</v>
      </c>
      <c r="AV28" s="53">
        <v>11.7</v>
      </c>
      <c r="AW28" s="53" t="s">
        <v>146</v>
      </c>
      <c r="AX28" s="53">
        <v>36</v>
      </c>
      <c r="AY28" s="53">
        <v>5336</v>
      </c>
      <c r="AZ28" s="53">
        <v>2116</v>
      </c>
      <c r="BA28" s="53">
        <v>1945</v>
      </c>
      <c r="BB28" s="53">
        <v>3075</v>
      </c>
      <c r="BC28" s="53">
        <v>8</v>
      </c>
      <c r="BD28" s="53">
        <v>2622</v>
      </c>
      <c r="BE28" s="53">
        <v>2816</v>
      </c>
      <c r="BF28" s="53" t="s">
        <v>150</v>
      </c>
      <c r="BG28" s="53" t="s">
        <v>151</v>
      </c>
      <c r="BH28" s="53" t="s">
        <v>152</v>
      </c>
      <c r="BI28" s="53" t="s">
        <v>153</v>
      </c>
      <c r="BJ28" s="53" t="s">
        <v>153</v>
      </c>
      <c r="BK28" s="53" t="s">
        <v>310</v>
      </c>
      <c r="BL28" s="53" t="s">
        <v>311</v>
      </c>
    </row>
    <row r="29" spans="1:64" ht="21" customHeight="1">
      <c r="A29" s="53" t="s">
        <v>312</v>
      </c>
      <c r="B29" s="53">
        <v>1</v>
      </c>
      <c r="C29" s="53" t="s">
        <v>303</v>
      </c>
      <c r="D29" s="53" t="s">
        <v>313</v>
      </c>
      <c r="E29" s="53" t="s">
        <v>739</v>
      </c>
      <c r="F29" s="53"/>
      <c r="G29" s="53"/>
      <c r="H29" s="53" t="str">
        <f t="shared" si="0"/>
        <v/>
      </c>
      <c r="I29" s="53"/>
      <c r="J29" s="53">
        <v>1.6</v>
      </c>
      <c r="K29" s="53">
        <v>4</v>
      </c>
      <c r="L29" s="53" t="s">
        <v>314</v>
      </c>
      <c r="M29" s="53" t="s">
        <v>213</v>
      </c>
      <c r="N29" s="53">
        <v>9.5</v>
      </c>
      <c r="O29" s="53">
        <v>8.3000000000000007</v>
      </c>
      <c r="P29" s="53">
        <v>8.9</v>
      </c>
      <c r="Q29" s="53">
        <v>37</v>
      </c>
      <c r="R29" s="53">
        <v>209</v>
      </c>
      <c r="S29" s="53">
        <v>192.4375</v>
      </c>
      <c r="T29" s="53">
        <v>34.8020833333333</v>
      </c>
      <c r="U29" s="53">
        <v>1.8645833333333299</v>
      </c>
      <c r="V29" s="53">
        <v>4.0833333333333304</v>
      </c>
      <c r="W29" s="53" t="s">
        <v>315</v>
      </c>
      <c r="X29" s="53">
        <v>1918861</v>
      </c>
      <c r="Y29" s="53">
        <v>1</v>
      </c>
      <c r="Z29" s="53">
        <v>36526.541878172597</v>
      </c>
      <c r="AA29" s="53">
        <v>1.07518612910645</v>
      </c>
      <c r="AB29" s="53">
        <v>1.10034080625084</v>
      </c>
      <c r="AC29" s="53">
        <v>40191.6445397836</v>
      </c>
      <c r="AD29" s="53">
        <v>763805748.87709999</v>
      </c>
      <c r="AE29" s="53">
        <v>35000</v>
      </c>
      <c r="AF29" s="53">
        <v>0.79521687822055898</v>
      </c>
      <c r="AG29" s="53">
        <v>19004.092955714899</v>
      </c>
      <c r="AH29" s="53">
        <v>2.7504441624365401</v>
      </c>
      <c r="AI29" s="53">
        <v>4.9010152284263997</v>
      </c>
      <c r="AJ29" s="53" t="s">
        <v>305</v>
      </c>
      <c r="AK29" s="53" t="s">
        <v>139</v>
      </c>
      <c r="AL29" s="53" t="s">
        <v>306</v>
      </c>
      <c r="AM29" s="53" t="s">
        <v>178</v>
      </c>
      <c r="AN29" s="53">
        <v>1.6</v>
      </c>
      <c r="AO29" s="53" t="s">
        <v>147</v>
      </c>
      <c r="AP29" s="53">
        <v>218</v>
      </c>
      <c r="AQ29" s="53">
        <v>280</v>
      </c>
      <c r="AR29" s="53">
        <v>7</v>
      </c>
      <c r="AS29" s="53">
        <v>220</v>
      </c>
      <c r="AT29" s="53" t="s">
        <v>316</v>
      </c>
      <c r="AU29" s="53" t="s">
        <v>149</v>
      </c>
      <c r="AV29" s="53">
        <v>6.8</v>
      </c>
      <c r="AW29" s="53" t="s">
        <v>178</v>
      </c>
      <c r="AX29" s="53">
        <v>37</v>
      </c>
      <c r="AY29" s="53">
        <v>4210</v>
      </c>
      <c r="AZ29" s="53">
        <v>1800</v>
      </c>
      <c r="BA29" s="53">
        <v>1595</v>
      </c>
      <c r="BB29" s="53">
        <v>2640</v>
      </c>
      <c r="BC29" s="53">
        <v>5</v>
      </c>
      <c r="BD29" s="53">
        <v>1305</v>
      </c>
      <c r="BE29" s="53">
        <v>1480</v>
      </c>
      <c r="BF29" s="53" t="s">
        <v>160</v>
      </c>
      <c r="BG29" s="53" t="s">
        <v>317</v>
      </c>
      <c r="BH29" s="53" t="s">
        <v>152</v>
      </c>
      <c r="BI29" s="53" t="s">
        <v>266</v>
      </c>
      <c r="BJ29" s="53" t="s">
        <v>153</v>
      </c>
      <c r="BK29" s="53" t="s">
        <v>318</v>
      </c>
      <c r="BL29" s="53" t="s">
        <v>319</v>
      </c>
    </row>
    <row r="30" spans="1:64" ht="21" customHeight="1">
      <c r="A30" s="53" t="s">
        <v>141</v>
      </c>
      <c r="B30" s="53">
        <v>2</v>
      </c>
      <c r="C30" s="53" t="s">
        <v>303</v>
      </c>
      <c r="D30" s="53" t="s">
        <v>320</v>
      </c>
      <c r="E30" s="53" t="s">
        <v>739</v>
      </c>
      <c r="F30" s="53">
        <v>2379</v>
      </c>
      <c r="G30" s="53">
        <v>9331</v>
      </c>
      <c r="H30" s="53">
        <f t="shared" si="0"/>
        <v>0.25495659629193013</v>
      </c>
      <c r="I30" s="53" t="s">
        <v>320</v>
      </c>
      <c r="J30" s="53">
        <v>1.6</v>
      </c>
      <c r="K30" s="53">
        <v>4</v>
      </c>
      <c r="L30" s="53" t="s">
        <v>321</v>
      </c>
      <c r="M30" s="53" t="s">
        <v>168</v>
      </c>
      <c r="N30" s="53">
        <v>7.7</v>
      </c>
      <c r="O30" s="53">
        <v>6.6</v>
      </c>
      <c r="P30" s="53">
        <v>7.2</v>
      </c>
      <c r="Q30" s="53">
        <v>39</v>
      </c>
      <c r="R30" s="53">
        <v>169</v>
      </c>
      <c r="S30" s="53">
        <v>197.065491183879</v>
      </c>
      <c r="T30" s="53">
        <v>35.085642317380398</v>
      </c>
      <c r="U30" s="53">
        <v>2.6853904282115799</v>
      </c>
      <c r="V30" s="53">
        <v>4.8312342569269502</v>
      </c>
      <c r="W30" s="53" t="s">
        <v>322</v>
      </c>
      <c r="X30" s="53">
        <v>1918861</v>
      </c>
      <c r="Y30" s="53">
        <v>1</v>
      </c>
      <c r="Z30" s="53">
        <v>77923.289340101503</v>
      </c>
      <c r="AA30" s="53">
        <v>1.13881689657316</v>
      </c>
      <c r="AB30" s="53">
        <v>1.1048522559127001</v>
      </c>
      <c r="AC30" s="53">
        <v>86093.7220155494</v>
      </c>
      <c r="AD30" s="53">
        <v>1946828721.3687601</v>
      </c>
      <c r="AE30" s="53">
        <v>23898</v>
      </c>
      <c r="AF30" s="53">
        <v>0.946225623049609</v>
      </c>
      <c r="AG30" s="53">
        <v>22612.899939639599</v>
      </c>
      <c r="AH30" s="53">
        <v>2.7504441624365401</v>
      </c>
      <c r="AI30" s="53">
        <v>4.9010152284263997</v>
      </c>
      <c r="AJ30" s="53" t="s">
        <v>305</v>
      </c>
      <c r="AK30" s="53" t="s">
        <v>139</v>
      </c>
      <c r="AL30" s="53" t="s">
        <v>306</v>
      </c>
      <c r="AM30" s="53" t="s">
        <v>146</v>
      </c>
      <c r="AN30" s="53">
        <v>2</v>
      </c>
      <c r="AO30" s="53" t="s">
        <v>186</v>
      </c>
      <c r="AP30" s="53">
        <v>143</v>
      </c>
      <c r="AQ30" s="53">
        <v>190</v>
      </c>
      <c r="AR30" s="53">
        <v>9.5</v>
      </c>
      <c r="AS30" s="53">
        <v>170</v>
      </c>
      <c r="AT30" s="53" t="s">
        <v>203</v>
      </c>
      <c r="AU30" s="53" t="s">
        <v>149</v>
      </c>
      <c r="AV30" s="53">
        <v>6.7</v>
      </c>
      <c r="AW30" s="53" t="s">
        <v>146</v>
      </c>
      <c r="AX30" s="53">
        <v>37</v>
      </c>
      <c r="AY30" s="53">
        <v>4366</v>
      </c>
      <c r="AZ30" s="53">
        <v>1801</v>
      </c>
      <c r="BA30" s="53">
        <v>1626</v>
      </c>
      <c r="BB30" s="53">
        <v>2657</v>
      </c>
      <c r="BC30" s="53">
        <v>5</v>
      </c>
      <c r="BD30" s="53">
        <v>1700</v>
      </c>
      <c r="BE30" s="53">
        <v>1390</v>
      </c>
      <c r="BF30" s="53" t="s">
        <v>160</v>
      </c>
      <c r="BG30" s="53" t="s">
        <v>317</v>
      </c>
      <c r="BH30" s="53" t="s">
        <v>152</v>
      </c>
      <c r="BI30" s="53" t="s">
        <v>153</v>
      </c>
      <c r="BJ30" s="53" t="s">
        <v>153</v>
      </c>
      <c r="BK30" s="53" t="s">
        <v>323</v>
      </c>
      <c r="BL30" s="53" t="s">
        <v>324</v>
      </c>
    </row>
    <row r="31" spans="1:64" ht="21" customHeight="1">
      <c r="A31" s="53" t="s">
        <v>141</v>
      </c>
      <c r="B31" s="53">
        <v>2</v>
      </c>
      <c r="C31" s="53" t="s">
        <v>303</v>
      </c>
      <c r="D31" s="53" t="s">
        <v>325</v>
      </c>
      <c r="E31" s="53" t="s">
        <v>740</v>
      </c>
      <c r="F31" s="53">
        <v>1122</v>
      </c>
      <c r="G31" s="53">
        <v>9331</v>
      </c>
      <c r="H31" s="53">
        <f t="shared" si="0"/>
        <v>0.12024434680098596</v>
      </c>
      <c r="I31" s="53" t="s">
        <v>326</v>
      </c>
      <c r="J31" s="53">
        <v>3.5</v>
      </c>
      <c r="K31" s="53">
        <v>6</v>
      </c>
      <c r="L31" s="53" t="s">
        <v>212</v>
      </c>
      <c r="M31" s="53" t="s">
        <v>168</v>
      </c>
      <c r="N31" s="53">
        <v>13.2</v>
      </c>
      <c r="O31" s="53">
        <v>10.1</v>
      </c>
      <c r="P31" s="53">
        <v>11.8</v>
      </c>
      <c r="Q31" s="53">
        <v>29</v>
      </c>
      <c r="R31" s="53">
        <v>271</v>
      </c>
      <c r="S31" s="53">
        <v>225.09039548022599</v>
      </c>
      <c r="T31" s="53">
        <v>34.764705882352899</v>
      </c>
      <c r="U31" s="53">
        <v>3</v>
      </c>
      <c r="V31" s="53">
        <v>5.4117647058823497</v>
      </c>
      <c r="W31" s="53" t="s">
        <v>327</v>
      </c>
      <c r="X31" s="53">
        <v>1918861</v>
      </c>
      <c r="Y31" s="53">
        <v>1</v>
      </c>
      <c r="Z31" s="53">
        <v>47484.504441624398</v>
      </c>
      <c r="AA31" s="53">
        <v>0.86924654125609602</v>
      </c>
      <c r="AB31" s="53">
        <v>1.0278576152330801</v>
      </c>
      <c r="AC31" s="53">
        <v>40562.797532556702</v>
      </c>
      <c r="AD31" s="53">
        <v>966687479.67311203</v>
      </c>
      <c r="AE31" s="53">
        <v>23898</v>
      </c>
      <c r="AF31" s="53">
        <v>1.0275110510074701</v>
      </c>
      <c r="AG31" s="53">
        <v>24555.459096976399</v>
      </c>
      <c r="AH31" s="53">
        <v>2.7504441624365401</v>
      </c>
      <c r="AI31" s="53">
        <v>4.9010152284263997</v>
      </c>
      <c r="AJ31" s="53" t="s">
        <v>305</v>
      </c>
      <c r="AK31" s="53" t="s">
        <v>139</v>
      </c>
      <c r="AL31" s="53" t="s">
        <v>306</v>
      </c>
      <c r="AM31" s="53" t="s">
        <v>146</v>
      </c>
      <c r="AN31" s="53">
        <v>2</v>
      </c>
      <c r="AO31" s="53" t="s">
        <v>159</v>
      </c>
      <c r="AP31" s="53">
        <v>244</v>
      </c>
      <c r="AQ31" s="53">
        <v>353</v>
      </c>
      <c r="AR31" s="53">
        <v>7.8</v>
      </c>
      <c r="AS31" s="53">
        <v>210</v>
      </c>
      <c r="AT31" s="53" t="s">
        <v>148</v>
      </c>
      <c r="AU31" s="53" t="s">
        <v>149</v>
      </c>
      <c r="AV31" s="53">
        <v>9.4</v>
      </c>
      <c r="AW31" s="53" t="s">
        <v>146</v>
      </c>
      <c r="AX31" s="53">
        <v>38</v>
      </c>
      <c r="AY31" s="53">
        <v>4899</v>
      </c>
      <c r="AZ31" s="53">
        <v>1981</v>
      </c>
      <c r="BA31" s="53">
        <v>1725</v>
      </c>
      <c r="BB31" s="53">
        <v>2824</v>
      </c>
      <c r="BC31" s="53">
        <v>5</v>
      </c>
      <c r="BD31" s="53">
        <v>1897</v>
      </c>
      <c r="BE31" s="53">
        <v>1910</v>
      </c>
      <c r="BF31" s="53" t="s">
        <v>160</v>
      </c>
      <c r="BG31" s="53" t="s">
        <v>151</v>
      </c>
      <c r="BH31" s="53" t="s">
        <v>152</v>
      </c>
      <c r="BI31" s="53" t="s">
        <v>153</v>
      </c>
      <c r="BJ31" s="53" t="s">
        <v>153</v>
      </c>
      <c r="BK31" s="53" t="s">
        <v>328</v>
      </c>
      <c r="BL31" s="53" t="s">
        <v>329</v>
      </c>
    </row>
    <row r="32" spans="1:64" ht="21" customHeight="1">
      <c r="A32" s="53" t="s">
        <v>141</v>
      </c>
      <c r="B32" s="53">
        <v>2</v>
      </c>
      <c r="C32" s="53" t="s">
        <v>303</v>
      </c>
      <c r="D32" s="53" t="s">
        <v>330</v>
      </c>
      <c r="E32" s="53" t="s">
        <v>740</v>
      </c>
      <c r="F32" s="53">
        <v>747</v>
      </c>
      <c r="G32" s="53">
        <v>9331</v>
      </c>
      <c r="H32" s="53">
        <f t="shared" si="0"/>
        <v>8.0055728217768726E-2</v>
      </c>
      <c r="I32" s="53" t="s">
        <v>331</v>
      </c>
      <c r="J32" s="53">
        <v>3.5</v>
      </c>
      <c r="K32" s="53">
        <v>6</v>
      </c>
      <c r="L32" s="53" t="s">
        <v>321</v>
      </c>
      <c r="M32" s="53" t="s">
        <v>168</v>
      </c>
      <c r="N32" s="53">
        <v>12.7</v>
      </c>
      <c r="O32" s="53">
        <v>9.3000000000000007</v>
      </c>
      <c r="P32" s="53">
        <v>11</v>
      </c>
      <c r="Q32" s="53">
        <v>32</v>
      </c>
      <c r="R32" s="53">
        <v>259</v>
      </c>
      <c r="S32" s="53">
        <v>286.96511627907</v>
      </c>
      <c r="T32" s="53">
        <v>29.748587570621499</v>
      </c>
      <c r="U32" s="53">
        <v>4.2279069767441797</v>
      </c>
      <c r="V32" s="53">
        <v>6.5581395348837201</v>
      </c>
      <c r="W32" s="53" t="s">
        <v>332</v>
      </c>
      <c r="X32" s="53">
        <v>1918861</v>
      </c>
      <c r="Y32" s="53">
        <v>1</v>
      </c>
      <c r="Z32" s="53">
        <v>47484.504441624398</v>
      </c>
      <c r="AA32" s="53">
        <v>1.36151650871511</v>
      </c>
      <c r="AB32" s="53">
        <v>1.5093131944940299</v>
      </c>
      <c r="AC32" s="53">
        <v>46551.641863465702</v>
      </c>
      <c r="AD32" s="53">
        <v>1109412863.1419001</v>
      </c>
      <c r="AE32" s="53">
        <v>23898</v>
      </c>
      <c r="AF32" s="53">
        <v>1.39394887577808</v>
      </c>
      <c r="AG32" s="53">
        <v>33312.590233344599</v>
      </c>
      <c r="AH32" s="53">
        <v>2.7504441624365401</v>
      </c>
      <c r="AI32" s="53">
        <v>4.9010152284263997</v>
      </c>
      <c r="AJ32" s="53" t="s">
        <v>305</v>
      </c>
      <c r="AK32" s="53" t="s">
        <v>139</v>
      </c>
      <c r="AL32" s="53" t="s">
        <v>306</v>
      </c>
      <c r="AM32" s="53" t="s">
        <v>146</v>
      </c>
      <c r="AN32" s="53">
        <v>3.5</v>
      </c>
      <c r="AO32" s="53" t="s">
        <v>186</v>
      </c>
      <c r="AP32" s="53">
        <v>299</v>
      </c>
      <c r="AQ32" s="53">
        <v>366</v>
      </c>
      <c r="AR32" s="53">
        <v>6.6</v>
      </c>
      <c r="AS32" s="53">
        <v>190</v>
      </c>
      <c r="AT32" s="53" t="s">
        <v>148</v>
      </c>
      <c r="AU32" s="53" t="s">
        <v>149</v>
      </c>
      <c r="AV32" s="53">
        <v>10.4</v>
      </c>
      <c r="AW32" s="53" t="s">
        <v>146</v>
      </c>
      <c r="AX32" s="53">
        <v>35</v>
      </c>
      <c r="AY32" s="53">
        <v>5004</v>
      </c>
      <c r="AZ32" s="53">
        <v>1978</v>
      </c>
      <c r="BA32" s="53">
        <v>1798</v>
      </c>
      <c r="BB32" s="53">
        <v>2901</v>
      </c>
      <c r="BC32" s="53">
        <v>8</v>
      </c>
      <c r="BD32" s="53">
        <v>2280</v>
      </c>
      <c r="BE32" s="53">
        <v>2149</v>
      </c>
      <c r="BF32" s="53" t="s">
        <v>160</v>
      </c>
      <c r="BG32" s="53" t="s">
        <v>151</v>
      </c>
      <c r="BH32" s="53" t="s">
        <v>152</v>
      </c>
      <c r="BI32" s="53" t="s">
        <v>153</v>
      </c>
      <c r="BJ32" s="53" t="s">
        <v>153</v>
      </c>
      <c r="BK32" s="53" t="s">
        <v>333</v>
      </c>
      <c r="BL32" s="53" t="s">
        <v>334</v>
      </c>
    </row>
    <row r="33" spans="1:64" ht="21" customHeight="1">
      <c r="A33" s="53" t="s">
        <v>312</v>
      </c>
      <c r="B33" s="53">
        <v>1</v>
      </c>
      <c r="C33" s="53" t="s">
        <v>303</v>
      </c>
      <c r="D33" s="53" t="s">
        <v>335</v>
      </c>
      <c r="E33" s="53" t="s">
        <v>739</v>
      </c>
      <c r="F33" s="53"/>
      <c r="G33" s="53"/>
      <c r="H33" s="53" t="str">
        <f t="shared" si="0"/>
        <v/>
      </c>
      <c r="I33" s="53"/>
      <c r="J33" s="53">
        <v>2</v>
      </c>
      <c r="K33" s="53">
        <v>4</v>
      </c>
      <c r="L33" s="53" t="s">
        <v>314</v>
      </c>
      <c r="M33" s="53" t="s">
        <v>168</v>
      </c>
      <c r="N33" s="53">
        <v>10.1</v>
      </c>
      <c r="O33" s="53">
        <v>8.1999999999999993</v>
      </c>
      <c r="P33" s="53">
        <v>9.1999999999999993</v>
      </c>
      <c r="Q33" s="53">
        <v>35</v>
      </c>
      <c r="R33" s="53">
        <v>217</v>
      </c>
      <c r="S33" s="53">
        <v>192.4375</v>
      </c>
      <c r="T33" s="53">
        <v>34.8020833333333</v>
      </c>
      <c r="U33" s="53">
        <v>1.8645833333333299</v>
      </c>
      <c r="V33" s="53">
        <v>4.0833333333333304</v>
      </c>
      <c r="W33" s="53" t="s">
        <v>336</v>
      </c>
      <c r="X33" s="53">
        <v>1918861</v>
      </c>
      <c r="Y33" s="53">
        <v>1</v>
      </c>
      <c r="Z33" s="53">
        <v>36526.541878172597</v>
      </c>
      <c r="AA33" s="53">
        <v>1.0146453217440301</v>
      </c>
      <c r="AB33" s="53">
        <v>1.0383836074171899</v>
      </c>
      <c r="AC33" s="53">
        <v>37928.5623219318</v>
      </c>
      <c r="AD33" s="53">
        <v>720797924.04261899</v>
      </c>
      <c r="AE33" s="53">
        <v>31350</v>
      </c>
      <c r="AF33" s="53">
        <v>0.79521687822055898</v>
      </c>
      <c r="AG33" s="53">
        <v>19004.092955714899</v>
      </c>
      <c r="AH33" s="53">
        <v>2.7504441624365401</v>
      </c>
      <c r="AI33" s="53">
        <v>4.9010152284263997</v>
      </c>
      <c r="AJ33" s="53" t="s">
        <v>305</v>
      </c>
      <c r="AK33" s="53" t="s">
        <v>139</v>
      </c>
      <c r="AL33" s="53" t="s">
        <v>306</v>
      </c>
      <c r="AM33" s="53" t="s">
        <v>178</v>
      </c>
      <c r="AN33" s="53">
        <v>1.6</v>
      </c>
      <c r="AO33" s="53" t="s">
        <v>147</v>
      </c>
      <c r="AP33" s="53">
        <v>190</v>
      </c>
      <c r="AQ33" s="53">
        <v>330</v>
      </c>
      <c r="AR33" s="53">
        <v>7.9</v>
      </c>
      <c r="AS33" s="53">
        <v>206</v>
      </c>
      <c r="AT33" s="53" t="s">
        <v>337</v>
      </c>
      <c r="AU33" s="53" t="s">
        <v>149</v>
      </c>
      <c r="AV33" s="53">
        <v>6.6</v>
      </c>
      <c r="AW33" s="53" t="s">
        <v>178</v>
      </c>
      <c r="AX33" s="53">
        <v>41</v>
      </c>
      <c r="AY33" s="53">
        <v>4425</v>
      </c>
      <c r="AZ33" s="53">
        <v>1835</v>
      </c>
      <c r="BA33" s="53">
        <v>1625</v>
      </c>
      <c r="BB33" s="53">
        <v>2665</v>
      </c>
      <c r="BC33" s="53">
        <v>5</v>
      </c>
      <c r="BD33" s="53">
        <v>1730</v>
      </c>
      <c r="BE33" s="53">
        <v>1660</v>
      </c>
      <c r="BF33" s="53" t="s">
        <v>160</v>
      </c>
      <c r="BG33" s="53" t="s">
        <v>151</v>
      </c>
      <c r="BH33" s="53" t="s">
        <v>152</v>
      </c>
      <c r="BI33" s="53" t="s">
        <v>153</v>
      </c>
      <c r="BJ33" s="53" t="s">
        <v>153</v>
      </c>
      <c r="BK33" s="53" t="s">
        <v>338</v>
      </c>
      <c r="BL33" s="53" t="s">
        <v>339</v>
      </c>
    </row>
    <row r="34" spans="1:64" ht="21" customHeight="1">
      <c r="A34" s="53" t="s">
        <v>141</v>
      </c>
      <c r="B34" s="53">
        <v>2</v>
      </c>
      <c r="C34" s="53" t="s">
        <v>303</v>
      </c>
      <c r="D34" s="53" t="s">
        <v>340</v>
      </c>
      <c r="E34" s="53" t="s">
        <v>741</v>
      </c>
      <c r="F34" s="53">
        <v>3583</v>
      </c>
      <c r="G34" s="53">
        <v>9331</v>
      </c>
      <c r="H34" s="53">
        <f t="shared" si="0"/>
        <v>0.38398885435644625</v>
      </c>
      <c r="I34" s="53" t="s">
        <v>341</v>
      </c>
      <c r="J34" s="53">
        <v>2.5</v>
      </c>
      <c r="K34" s="53">
        <v>4</v>
      </c>
      <c r="L34" s="53" t="s">
        <v>321</v>
      </c>
      <c r="M34" s="53" t="s">
        <v>168</v>
      </c>
      <c r="N34" s="53">
        <v>9.6999999999999993</v>
      </c>
      <c r="O34" s="53">
        <v>7.5</v>
      </c>
      <c r="P34" s="53">
        <v>8.6999999999999993</v>
      </c>
      <c r="Q34" s="53">
        <v>34</v>
      </c>
      <c r="R34" s="53">
        <v>205</v>
      </c>
      <c r="S34" s="53">
        <v>225.09039548022599</v>
      </c>
      <c r="T34" s="53">
        <v>29.748587570621499</v>
      </c>
      <c r="U34" s="53">
        <v>2.7225988700564998</v>
      </c>
      <c r="V34" s="53">
        <v>4.7401129943502802</v>
      </c>
      <c r="W34" s="53" t="s">
        <v>342</v>
      </c>
      <c r="X34" s="53">
        <v>1918861</v>
      </c>
      <c r="Y34" s="53">
        <v>1</v>
      </c>
      <c r="Z34" s="53">
        <v>47484.504441624398</v>
      </c>
      <c r="AA34" s="53">
        <v>1.1606975751974</v>
      </c>
      <c r="AB34" s="53">
        <v>1.2111077431417301</v>
      </c>
      <c r="AC34" s="53">
        <v>57508.851008499398</v>
      </c>
      <c r="AD34" s="53">
        <v>1370543690.8211901</v>
      </c>
      <c r="AE34" s="53">
        <v>23898</v>
      </c>
      <c r="AF34" s="53">
        <v>0.99723298999145105</v>
      </c>
      <c r="AG34" s="53">
        <v>23831.873994815702</v>
      </c>
      <c r="AH34" s="53">
        <v>2.7504441624365401</v>
      </c>
      <c r="AI34" s="53">
        <v>4.9010152284263997</v>
      </c>
      <c r="AJ34" s="53" t="s">
        <v>305</v>
      </c>
      <c r="AK34" s="53" t="s">
        <v>139</v>
      </c>
      <c r="AL34" s="53" t="s">
        <v>306</v>
      </c>
      <c r="AM34" s="53" t="s">
        <v>146</v>
      </c>
      <c r="AN34" s="53">
        <v>1.5</v>
      </c>
      <c r="AO34" s="53" t="s">
        <v>159</v>
      </c>
      <c r="AP34" s="53">
        <v>204</v>
      </c>
      <c r="AQ34" s="53">
        <v>305</v>
      </c>
      <c r="AR34" s="53">
        <v>7.8</v>
      </c>
      <c r="AS34" s="53">
        <v>200</v>
      </c>
      <c r="AT34" s="53" t="s">
        <v>203</v>
      </c>
      <c r="AU34" s="53" t="s">
        <v>149</v>
      </c>
      <c r="AV34" s="53">
        <v>7</v>
      </c>
      <c r="AW34" s="53" t="s">
        <v>146</v>
      </c>
      <c r="AX34" s="53">
        <v>38</v>
      </c>
      <c r="AY34" s="53">
        <v>4648</v>
      </c>
      <c r="AZ34" s="53">
        <v>1839</v>
      </c>
      <c r="BA34" s="53">
        <v>1699</v>
      </c>
      <c r="BB34" s="53">
        <v>2705</v>
      </c>
      <c r="BC34" s="53">
        <v>5</v>
      </c>
      <c r="BD34" s="53">
        <v>2098</v>
      </c>
      <c r="BE34" s="53">
        <v>1684</v>
      </c>
      <c r="BF34" s="53" t="s">
        <v>160</v>
      </c>
      <c r="BG34" s="53" t="s">
        <v>151</v>
      </c>
      <c r="BH34" s="53" t="s">
        <v>152</v>
      </c>
      <c r="BI34" s="53" t="s">
        <v>153</v>
      </c>
      <c r="BJ34" s="53" t="s">
        <v>153</v>
      </c>
      <c r="BK34" s="53" t="s">
        <v>343</v>
      </c>
      <c r="BL34" s="53" t="s">
        <v>344</v>
      </c>
    </row>
    <row r="35" spans="1:64" ht="21" customHeight="1">
      <c r="A35" s="53" t="s">
        <v>312</v>
      </c>
      <c r="B35" s="53">
        <v>1</v>
      </c>
      <c r="C35" s="53" t="s">
        <v>303</v>
      </c>
      <c r="D35" s="53" t="s">
        <v>345</v>
      </c>
      <c r="E35" s="53" t="s">
        <v>740</v>
      </c>
      <c r="F35" s="53"/>
      <c r="G35" s="53"/>
      <c r="H35" s="53" t="str">
        <f t="shared" si="0"/>
        <v/>
      </c>
      <c r="I35" s="53"/>
      <c r="J35" s="53">
        <v>4</v>
      </c>
      <c r="K35" s="53">
        <v>6</v>
      </c>
      <c r="L35" s="53" t="s">
        <v>346</v>
      </c>
      <c r="M35" s="53" t="s">
        <v>168</v>
      </c>
      <c r="N35" s="53">
        <v>16.100000000000001</v>
      </c>
      <c r="O35" s="53">
        <v>12.3</v>
      </c>
      <c r="P35" s="53">
        <v>14.4</v>
      </c>
      <c r="Q35" s="53">
        <v>21</v>
      </c>
      <c r="R35" s="53">
        <v>331</v>
      </c>
      <c r="S35" s="53">
        <v>225.09039548022599</v>
      </c>
      <c r="T35" s="53">
        <v>29.748587570621499</v>
      </c>
      <c r="U35" s="53">
        <v>2.7225988700564998</v>
      </c>
      <c r="V35" s="53">
        <v>4.7401129943502802</v>
      </c>
      <c r="W35" s="53" t="s">
        <v>347</v>
      </c>
      <c r="X35" s="53">
        <v>1918861</v>
      </c>
      <c r="Y35" s="53">
        <v>1</v>
      </c>
      <c r="Z35" s="53">
        <v>47484.504441624398</v>
      </c>
      <c r="AA35" s="53">
        <v>0.71024427575159998</v>
      </c>
      <c r="AB35" s="53">
        <v>0.74109084077182097</v>
      </c>
      <c r="AC35" s="53">
        <v>35190.331320276702</v>
      </c>
      <c r="AD35" s="53">
        <v>838651541.86064994</v>
      </c>
      <c r="AE35" s="53">
        <v>23898</v>
      </c>
      <c r="AF35" s="53">
        <v>0.99723298999145105</v>
      </c>
      <c r="AG35" s="53">
        <v>23831.873994815702</v>
      </c>
      <c r="AH35" s="53">
        <v>2.7504441624365401</v>
      </c>
      <c r="AI35" s="53">
        <v>4.9010152284263997</v>
      </c>
      <c r="AJ35" s="53" t="s">
        <v>305</v>
      </c>
      <c r="AK35" s="53" t="s">
        <v>139</v>
      </c>
      <c r="AL35" s="53" t="s">
        <v>306</v>
      </c>
      <c r="AM35" s="53" t="s">
        <v>146</v>
      </c>
      <c r="AN35" s="53">
        <v>4</v>
      </c>
      <c r="AO35" s="53" t="s">
        <v>186</v>
      </c>
      <c r="AP35" s="53">
        <v>265</v>
      </c>
      <c r="AQ35" s="53">
        <v>387</v>
      </c>
      <c r="AR35" s="53">
        <v>7.8</v>
      </c>
      <c r="AS35" s="53">
        <v>190</v>
      </c>
      <c r="AT35" s="53" t="s">
        <v>348</v>
      </c>
      <c r="AU35" s="53" t="s">
        <v>349</v>
      </c>
      <c r="AV35" s="53">
        <v>12.7</v>
      </c>
      <c r="AW35" s="53" t="s">
        <v>146</v>
      </c>
      <c r="AX35" s="53">
        <v>34</v>
      </c>
      <c r="AY35" s="53">
        <v>4530</v>
      </c>
      <c r="AZ35" s="53">
        <v>1850</v>
      </c>
      <c r="BA35" s="53">
        <v>1860</v>
      </c>
      <c r="BB35" s="53">
        <v>2650</v>
      </c>
      <c r="BC35" s="53">
        <v>5</v>
      </c>
      <c r="BD35" s="53">
        <v>1860</v>
      </c>
      <c r="BE35" s="53">
        <v>1990</v>
      </c>
      <c r="BF35" s="53" t="s">
        <v>150</v>
      </c>
      <c r="BG35" s="53" t="s">
        <v>230</v>
      </c>
      <c r="BH35" s="53" t="s">
        <v>350</v>
      </c>
      <c r="BI35" s="53" t="s">
        <v>351</v>
      </c>
      <c r="BJ35" s="53" t="s">
        <v>153</v>
      </c>
      <c r="BK35" s="53" t="s">
        <v>352</v>
      </c>
      <c r="BL35" s="53" t="s">
        <v>353</v>
      </c>
    </row>
    <row r="36" spans="1:64">
      <c r="A36" s="53" t="s">
        <v>141</v>
      </c>
      <c r="B36" s="53">
        <v>2</v>
      </c>
      <c r="C36" s="53" t="s">
        <v>354</v>
      </c>
      <c r="D36" s="53" t="s">
        <v>355</v>
      </c>
      <c r="E36" s="53" t="s">
        <v>740</v>
      </c>
      <c r="F36" s="53">
        <v>8</v>
      </c>
      <c r="G36" s="53">
        <v>10038</v>
      </c>
      <c r="H36" s="53">
        <f t="shared" si="0"/>
        <v>7.969715082685794E-4</v>
      </c>
      <c r="I36" s="53" t="s">
        <v>356</v>
      </c>
      <c r="J36" s="53">
        <v>2.4</v>
      </c>
      <c r="K36" s="53">
        <v>4</v>
      </c>
      <c r="L36" s="53" t="s">
        <v>291</v>
      </c>
      <c r="M36" s="53" t="s">
        <v>168</v>
      </c>
      <c r="N36" s="53">
        <v>11.6</v>
      </c>
      <c r="O36" s="53">
        <v>9</v>
      </c>
      <c r="P36" s="53">
        <v>10.4</v>
      </c>
      <c r="Q36" s="53">
        <v>27</v>
      </c>
      <c r="R36" s="53">
        <v>244</v>
      </c>
      <c r="S36" s="53">
        <v>286.96511627907</v>
      </c>
      <c r="T36" s="53">
        <v>24.569767441860499</v>
      </c>
      <c r="U36" s="53">
        <v>4.2279069767441797</v>
      </c>
      <c r="V36" s="53">
        <v>6.5581395348837201</v>
      </c>
      <c r="W36" s="53" t="s">
        <v>357</v>
      </c>
      <c r="X36" s="53">
        <v>1918861</v>
      </c>
      <c r="Y36" s="53">
        <v>1</v>
      </c>
      <c r="Z36" s="53">
        <v>2435.1027918781701</v>
      </c>
      <c r="AA36" s="53">
        <v>1.13749902118198</v>
      </c>
      <c r="AB36" s="53">
        <v>1</v>
      </c>
      <c r="AC36" s="53">
        <v>2435.1027918781701</v>
      </c>
      <c r="AD36" s="53">
        <v>100796969.29054099</v>
      </c>
      <c r="AE36" s="53">
        <v>29695</v>
      </c>
      <c r="AF36" s="53">
        <v>1.39394887577808</v>
      </c>
      <c r="AG36" s="53">
        <v>41393.311866230099</v>
      </c>
      <c r="AH36" s="53">
        <v>2.7504441624365401</v>
      </c>
      <c r="AI36" s="53">
        <v>4.9010152284263997</v>
      </c>
      <c r="AJ36" s="53" t="s">
        <v>358</v>
      </c>
      <c r="AK36" s="53" t="s">
        <v>139</v>
      </c>
      <c r="AL36" s="53" t="s">
        <v>359</v>
      </c>
      <c r="AM36" s="53" t="s">
        <v>146</v>
      </c>
      <c r="AN36" s="53">
        <v>2.4</v>
      </c>
      <c r="AO36" s="53" t="s">
        <v>159</v>
      </c>
      <c r="AP36" s="53">
        <v>264</v>
      </c>
      <c r="AQ36" s="53">
        <v>375</v>
      </c>
      <c r="AR36" s="53">
        <v>7.1</v>
      </c>
      <c r="AS36" s="53">
        <v>209</v>
      </c>
      <c r="AT36" s="53" t="s">
        <v>203</v>
      </c>
      <c r="AU36" s="53" t="s">
        <v>187</v>
      </c>
      <c r="AV36" s="53">
        <v>9.6999999999999993</v>
      </c>
      <c r="AW36" s="53" t="s">
        <v>146</v>
      </c>
      <c r="AX36" s="53">
        <v>35</v>
      </c>
      <c r="AY36" s="53">
        <v>4999</v>
      </c>
      <c r="AZ36" s="53">
        <v>1930</v>
      </c>
      <c r="BA36" s="53">
        <v>1819</v>
      </c>
      <c r="BB36" s="53">
        <v>2891</v>
      </c>
      <c r="BC36" s="53">
        <v>8</v>
      </c>
      <c r="BD36" s="53">
        <v>2141</v>
      </c>
      <c r="BE36" s="53">
        <v>2076</v>
      </c>
      <c r="BF36" s="53" t="s">
        <v>160</v>
      </c>
      <c r="BG36" s="53" t="s">
        <v>151</v>
      </c>
      <c r="BH36" s="53" t="s">
        <v>152</v>
      </c>
      <c r="BI36" s="53" t="s">
        <v>153</v>
      </c>
      <c r="BJ36" s="53" t="s">
        <v>153</v>
      </c>
      <c r="BK36" s="53" t="s">
        <v>360</v>
      </c>
      <c r="BL36" s="53" t="s">
        <v>361</v>
      </c>
    </row>
    <row r="37" spans="1:64">
      <c r="A37" s="53" t="s">
        <v>141</v>
      </c>
      <c r="B37" s="53">
        <v>2</v>
      </c>
      <c r="C37" s="53" t="s">
        <v>354</v>
      </c>
      <c r="D37" s="53" t="s">
        <v>362</v>
      </c>
      <c r="E37" s="53" t="s">
        <v>739</v>
      </c>
      <c r="F37" s="53">
        <v>5143</v>
      </c>
      <c r="G37" s="53">
        <v>10038</v>
      </c>
      <c r="H37" s="53">
        <f t="shared" si="0"/>
        <v>0.51235305837816303</v>
      </c>
      <c r="I37" s="53" t="s">
        <v>363</v>
      </c>
      <c r="J37" s="53">
        <v>2</v>
      </c>
      <c r="K37" s="53">
        <v>4</v>
      </c>
      <c r="L37" s="53" t="s">
        <v>364</v>
      </c>
      <c r="M37" s="53" t="s">
        <v>168</v>
      </c>
      <c r="N37" s="53">
        <v>10.199999999999999</v>
      </c>
      <c r="O37" s="53">
        <v>8</v>
      </c>
      <c r="P37" s="53">
        <v>9.1999999999999993</v>
      </c>
      <c r="Q37" s="53">
        <v>38</v>
      </c>
      <c r="R37" s="53">
        <v>214</v>
      </c>
      <c r="S37" s="53">
        <v>225.09039548022599</v>
      </c>
      <c r="T37" s="53">
        <v>29.748587570621499</v>
      </c>
      <c r="U37" s="53">
        <v>2.7225988700564998</v>
      </c>
      <c r="V37" s="53">
        <v>4.7401129943502802</v>
      </c>
      <c r="W37" s="53" t="s">
        <v>365</v>
      </c>
      <c r="X37" s="53">
        <v>1918861</v>
      </c>
      <c r="Y37" s="53">
        <v>1</v>
      </c>
      <c r="Z37" s="53">
        <v>64530.223984771597</v>
      </c>
      <c r="AA37" s="53">
        <v>1</v>
      </c>
      <c r="AB37" s="53">
        <f>AA37</f>
        <v>1</v>
      </c>
      <c r="AC37" s="53">
        <f>Z37*AB37</f>
        <v>64530.223984771597</v>
      </c>
      <c r="AD37" s="53">
        <f>AC37*AG37</f>
        <v>1910922787.4707634</v>
      </c>
      <c r="AE37" s="53">
        <v>29695</v>
      </c>
      <c r="AF37" s="53">
        <v>0.99723298999145105</v>
      </c>
      <c r="AG37" s="53">
        <f>AE37*AF37</f>
        <v>29612.833637796139</v>
      </c>
      <c r="AH37" s="53">
        <v>2.7504441624365401</v>
      </c>
      <c r="AI37" s="53">
        <v>4.9010152284263997</v>
      </c>
      <c r="AJ37" s="53" t="s">
        <v>358</v>
      </c>
      <c r="AK37" s="53" t="s">
        <v>139</v>
      </c>
      <c r="AL37" s="53" t="s">
        <v>359</v>
      </c>
      <c r="AM37" s="53" t="s">
        <v>178</v>
      </c>
      <c r="AN37" s="53">
        <v>2.5</v>
      </c>
      <c r="AO37" s="53" t="s">
        <v>186</v>
      </c>
      <c r="AP37" s="53">
        <v>197</v>
      </c>
      <c r="AQ37" s="53">
        <v>241</v>
      </c>
      <c r="AR37" s="53">
        <v>8.6</v>
      </c>
      <c r="AS37" s="53">
        <v>198</v>
      </c>
      <c r="AT37" s="53" t="s">
        <v>203</v>
      </c>
      <c r="AU37" s="53" t="s">
        <v>187</v>
      </c>
      <c r="AV37" s="53">
        <v>7.1</v>
      </c>
      <c r="AW37" s="53" t="s">
        <v>178</v>
      </c>
      <c r="AX37" s="53">
        <v>41</v>
      </c>
      <c r="AY37" s="53">
        <v>4480</v>
      </c>
      <c r="AZ37" s="53">
        <v>1800</v>
      </c>
      <c r="BA37" s="53">
        <v>1600</v>
      </c>
      <c r="BB37" s="53">
        <v>2670</v>
      </c>
      <c r="BC37" s="53">
        <v>5</v>
      </c>
      <c r="BD37" s="53">
        <v>1566</v>
      </c>
      <c r="BE37" s="53">
        <v>1610</v>
      </c>
      <c r="BF37" s="53" t="s">
        <v>160</v>
      </c>
      <c r="BG37" s="53" t="s">
        <v>150</v>
      </c>
      <c r="BH37" s="53" t="s">
        <v>152</v>
      </c>
      <c r="BI37" s="53" t="s">
        <v>153</v>
      </c>
      <c r="BJ37" s="53" t="s">
        <v>153</v>
      </c>
      <c r="BK37" s="53" t="s">
        <v>366</v>
      </c>
      <c r="BL37" s="53" t="s">
        <v>367</v>
      </c>
    </row>
    <row r="38" spans="1:64">
      <c r="A38" s="53" t="s">
        <v>141</v>
      </c>
      <c r="B38" s="53">
        <v>2</v>
      </c>
      <c r="C38" s="53" t="s">
        <v>354</v>
      </c>
      <c r="D38" s="53" t="s">
        <v>368</v>
      </c>
      <c r="E38" s="53" t="s">
        <v>741</v>
      </c>
      <c r="F38" s="53">
        <v>2126</v>
      </c>
      <c r="G38" s="53">
        <v>10038</v>
      </c>
      <c r="H38" s="53">
        <f t="shared" si="0"/>
        <v>0.21179517832237499</v>
      </c>
      <c r="I38" s="53" t="s">
        <v>369</v>
      </c>
      <c r="J38" s="53">
        <v>2.5</v>
      </c>
      <c r="K38" s="53">
        <v>4</v>
      </c>
      <c r="L38" s="53" t="s">
        <v>370</v>
      </c>
      <c r="M38" s="53" t="s">
        <v>213</v>
      </c>
      <c r="N38" s="53">
        <v>10.9</v>
      </c>
      <c r="O38" s="53">
        <v>8.6</v>
      </c>
      <c r="P38" s="53">
        <v>9.6999999999999993</v>
      </c>
      <c r="Q38" s="53">
        <v>34</v>
      </c>
      <c r="R38" s="53">
        <v>228</v>
      </c>
      <c r="S38" s="53">
        <v>225.09039548022599</v>
      </c>
      <c r="T38" s="53">
        <v>29.748587570621499</v>
      </c>
      <c r="U38" s="53">
        <v>2.7225988700564998</v>
      </c>
      <c r="V38" s="53">
        <v>4.7401129943502802</v>
      </c>
      <c r="W38" s="53" t="s">
        <v>371</v>
      </c>
      <c r="X38" s="53">
        <v>1918861</v>
      </c>
      <c r="Y38" s="53">
        <v>1</v>
      </c>
      <c r="Z38" s="53">
        <v>64530.223984771597</v>
      </c>
      <c r="AA38" s="53">
        <v>1.1576286071089401</v>
      </c>
      <c r="AB38" s="53">
        <v>1.0902696846617801</v>
      </c>
      <c r="AC38" s="53">
        <v>70355.346955030895</v>
      </c>
      <c r="AD38" s="53">
        <v>2083421184.9087601</v>
      </c>
      <c r="AE38" s="53">
        <v>29695</v>
      </c>
      <c r="AF38" s="53">
        <v>0.99723298999145105</v>
      </c>
      <c r="AG38" s="53">
        <v>29612.833637796099</v>
      </c>
      <c r="AH38" s="53">
        <v>2.7504441624365401</v>
      </c>
      <c r="AI38" s="53">
        <v>4.9010152284263997</v>
      </c>
      <c r="AJ38" s="53" t="s">
        <v>358</v>
      </c>
      <c r="AK38" s="53" t="s">
        <v>139</v>
      </c>
      <c r="AL38" s="53" t="s">
        <v>359</v>
      </c>
      <c r="AM38" s="53" t="s">
        <v>178</v>
      </c>
      <c r="AN38" s="53">
        <v>2.5</v>
      </c>
      <c r="AO38" s="53" t="s">
        <v>186</v>
      </c>
      <c r="AP38" s="53">
        <v>183</v>
      </c>
      <c r="AQ38" s="53">
        <v>241</v>
      </c>
      <c r="AR38" s="53">
        <v>8.8000000000000007</v>
      </c>
      <c r="AS38" s="53">
        <v>193</v>
      </c>
      <c r="AT38" s="53" t="s">
        <v>203</v>
      </c>
      <c r="AU38" s="53" t="s">
        <v>187</v>
      </c>
      <c r="AV38" s="53">
        <v>7.5</v>
      </c>
      <c r="AW38" s="53" t="s">
        <v>178</v>
      </c>
      <c r="AX38" s="53">
        <v>40</v>
      </c>
      <c r="AY38" s="53">
        <v>4656</v>
      </c>
      <c r="AZ38" s="53">
        <v>1830</v>
      </c>
      <c r="BA38" s="53">
        <v>1730</v>
      </c>
      <c r="BB38" s="53">
        <v>2670</v>
      </c>
      <c r="BC38" s="53">
        <v>5</v>
      </c>
      <c r="BD38" s="53">
        <v>2101</v>
      </c>
      <c r="BE38" s="53">
        <v>1650</v>
      </c>
      <c r="BF38" s="53" t="s">
        <v>160</v>
      </c>
      <c r="BG38" s="53" t="s">
        <v>150</v>
      </c>
      <c r="BH38" s="53" t="s">
        <v>152</v>
      </c>
      <c r="BI38" s="53" t="s">
        <v>153</v>
      </c>
      <c r="BJ38" s="53" t="s">
        <v>153</v>
      </c>
      <c r="BK38" s="53" t="s">
        <v>372</v>
      </c>
      <c r="BL38" s="53" t="s">
        <v>373</v>
      </c>
    </row>
    <row r="39" spans="1:64">
      <c r="A39" s="53" t="s">
        <v>141</v>
      </c>
      <c r="B39" s="53">
        <v>2</v>
      </c>
      <c r="C39" s="53" t="s">
        <v>354</v>
      </c>
      <c r="D39" s="53" t="s">
        <v>374</v>
      </c>
      <c r="E39" s="53" t="s">
        <v>740</v>
      </c>
      <c r="F39" s="53">
        <v>1705</v>
      </c>
      <c r="G39" s="53">
        <v>10038</v>
      </c>
      <c r="H39" s="53">
        <f t="shared" si="0"/>
        <v>0.16985455269974098</v>
      </c>
      <c r="I39" s="53" t="s">
        <v>375</v>
      </c>
      <c r="J39" s="53">
        <v>3.6</v>
      </c>
      <c r="K39" s="53">
        <v>6</v>
      </c>
      <c r="L39" s="53" t="s">
        <v>376</v>
      </c>
      <c r="M39" s="53" t="s">
        <v>168</v>
      </c>
      <c r="N39" s="53">
        <v>13.4</v>
      </c>
      <c r="O39" s="53">
        <v>9.6999999999999993</v>
      </c>
      <c r="P39" s="53">
        <v>11.7</v>
      </c>
      <c r="Q39" s="53">
        <v>34</v>
      </c>
      <c r="R39" s="53">
        <v>269</v>
      </c>
      <c r="S39" s="53">
        <v>225.09039548022599</v>
      </c>
      <c r="T39" s="53">
        <v>29.748587570621499</v>
      </c>
      <c r="U39" s="53">
        <v>2.7225988700564998</v>
      </c>
      <c r="V39" s="53">
        <v>4.7401129943502802</v>
      </c>
      <c r="W39" s="53" t="s">
        <v>377</v>
      </c>
      <c r="X39" s="53">
        <v>1918861</v>
      </c>
      <c r="Y39" s="53">
        <v>1</v>
      </c>
      <c r="Z39" s="53">
        <v>64530.223984771597</v>
      </c>
      <c r="AA39" s="53">
        <v>1.1606975751974</v>
      </c>
      <c r="AB39" s="53">
        <v>1.09316007873938</v>
      </c>
      <c r="AC39" s="53">
        <v>70541.864732262504</v>
      </c>
      <c r="AD39" s="53">
        <v>2088944504.8164101</v>
      </c>
      <c r="AE39" s="53">
        <v>29695</v>
      </c>
      <c r="AF39" s="53">
        <v>0.99723298999145105</v>
      </c>
      <c r="AG39" s="53">
        <v>29612.833637796099</v>
      </c>
      <c r="AH39" s="53">
        <v>2.7504441624365401</v>
      </c>
      <c r="AI39" s="53">
        <v>4.9010152284263997</v>
      </c>
      <c r="AJ39" s="53" t="s">
        <v>358</v>
      </c>
      <c r="AK39" s="53" t="s">
        <v>139</v>
      </c>
      <c r="AL39" s="53" t="s">
        <v>359</v>
      </c>
      <c r="AM39" s="53" t="s">
        <v>146</v>
      </c>
      <c r="AN39" s="53">
        <v>2.4</v>
      </c>
      <c r="AO39" s="53" t="s">
        <v>159</v>
      </c>
      <c r="AP39" s="53">
        <v>264</v>
      </c>
      <c r="AQ39" s="53">
        <v>375</v>
      </c>
      <c r="AR39" s="53">
        <v>6.3</v>
      </c>
      <c r="AS39" s="53">
        <v>210</v>
      </c>
      <c r="AT39" s="53" t="s">
        <v>203</v>
      </c>
      <c r="AU39" s="53" t="s">
        <v>187</v>
      </c>
      <c r="AV39" s="53">
        <v>8.1999999999999993</v>
      </c>
      <c r="AW39" s="53" t="s">
        <v>146</v>
      </c>
      <c r="AX39" s="53">
        <v>35</v>
      </c>
      <c r="AY39" s="53">
        <v>4870</v>
      </c>
      <c r="AZ39" s="53">
        <v>1875</v>
      </c>
      <c r="BA39" s="53">
        <v>1675</v>
      </c>
      <c r="BB39" s="53">
        <v>2745</v>
      </c>
      <c r="BC39" s="53">
        <v>5</v>
      </c>
      <c r="BD39" s="53">
        <v>2141</v>
      </c>
      <c r="BE39" s="53">
        <v>1778</v>
      </c>
      <c r="BF39" s="53" t="s">
        <v>160</v>
      </c>
      <c r="BG39" s="53" t="s">
        <v>150</v>
      </c>
      <c r="BH39" s="53" t="s">
        <v>152</v>
      </c>
      <c r="BI39" s="53" t="s">
        <v>153</v>
      </c>
      <c r="BJ39" s="53" t="s">
        <v>153</v>
      </c>
      <c r="BK39" s="53" t="s">
        <v>378</v>
      </c>
      <c r="BL39" s="53" t="s">
        <v>379</v>
      </c>
    </row>
    <row r="40" spans="1:64">
      <c r="A40" s="53" t="s">
        <v>312</v>
      </c>
      <c r="B40" s="53">
        <v>1</v>
      </c>
      <c r="C40" s="53" t="s">
        <v>354</v>
      </c>
      <c r="D40" s="53" t="s">
        <v>381</v>
      </c>
      <c r="E40" s="53" t="s">
        <v>740</v>
      </c>
      <c r="F40" s="53"/>
      <c r="G40" s="53"/>
      <c r="H40" s="53" t="str">
        <f t="shared" si="0"/>
        <v/>
      </c>
      <c r="I40" s="53"/>
      <c r="J40" s="53">
        <v>3.6</v>
      </c>
      <c r="K40" s="53">
        <v>6</v>
      </c>
      <c r="L40" s="53" t="s">
        <v>382</v>
      </c>
      <c r="M40" s="53" t="s">
        <v>168</v>
      </c>
      <c r="N40" s="53">
        <v>14.7</v>
      </c>
      <c r="O40" s="53">
        <v>11.1</v>
      </c>
      <c r="P40" s="53">
        <v>13.1</v>
      </c>
      <c r="Q40" s="53">
        <v>22</v>
      </c>
      <c r="R40" s="53">
        <v>301</v>
      </c>
      <c r="S40" s="53">
        <v>225.09039548022599</v>
      </c>
      <c r="T40" s="53">
        <v>29.748587570621499</v>
      </c>
      <c r="U40" s="53">
        <v>2.7225988700564998</v>
      </c>
      <c r="V40" s="53">
        <v>4.7401129943502802</v>
      </c>
      <c r="W40" s="53" t="s">
        <v>383</v>
      </c>
      <c r="X40" s="53">
        <v>1918861</v>
      </c>
      <c r="Y40" s="53">
        <v>1</v>
      </c>
      <c r="Z40" s="53">
        <v>64530.223984771597</v>
      </c>
      <c r="AA40" s="53">
        <v>0.74366976580175104</v>
      </c>
      <c r="AB40" s="53">
        <v>0.70039786169250595</v>
      </c>
      <c r="AC40" s="53">
        <v>45196.830893472499</v>
      </c>
      <c r="AD40" s="53">
        <v>1338406234.20401</v>
      </c>
      <c r="AE40" s="53">
        <v>29695</v>
      </c>
      <c r="AF40" s="53">
        <v>0.99723298999145105</v>
      </c>
      <c r="AG40" s="53">
        <v>29612.833637796099</v>
      </c>
      <c r="AH40" s="53">
        <v>2.7504441624365401</v>
      </c>
      <c r="AI40" s="53">
        <v>4.9010152284263997</v>
      </c>
      <c r="AJ40" s="53" t="s">
        <v>358</v>
      </c>
      <c r="AK40" s="53" t="s">
        <v>139</v>
      </c>
      <c r="AL40" s="53" t="s">
        <v>359</v>
      </c>
      <c r="AM40" s="53" t="s">
        <v>146</v>
      </c>
      <c r="AN40" s="53">
        <v>3.6</v>
      </c>
      <c r="AO40" s="53" t="s">
        <v>186</v>
      </c>
      <c r="AP40" s="53">
        <v>262</v>
      </c>
      <c r="AQ40" s="53">
        <v>351</v>
      </c>
      <c r="AR40" s="53">
        <v>8</v>
      </c>
      <c r="AS40" s="53">
        <v>207</v>
      </c>
      <c r="AT40" s="53" t="s">
        <v>148</v>
      </c>
      <c r="AU40" s="53" t="s">
        <v>187</v>
      </c>
      <c r="AV40" s="53">
        <v>11.1</v>
      </c>
      <c r="AW40" s="53" t="s">
        <v>146</v>
      </c>
      <c r="AX40" s="53">
        <v>34</v>
      </c>
      <c r="AY40" s="53">
        <v>4865</v>
      </c>
      <c r="AZ40" s="53">
        <v>1880</v>
      </c>
      <c r="BA40" s="53">
        <v>1685</v>
      </c>
      <c r="BB40" s="53">
        <v>2750</v>
      </c>
      <c r="BC40" s="53">
        <v>7</v>
      </c>
      <c r="BD40" s="53">
        <v>2107</v>
      </c>
      <c r="BE40" s="53">
        <v>1983</v>
      </c>
      <c r="BF40" s="53" t="s">
        <v>160</v>
      </c>
      <c r="BG40" s="53" t="s">
        <v>150</v>
      </c>
      <c r="BH40" s="53" t="s">
        <v>350</v>
      </c>
      <c r="BI40" s="53" t="s">
        <v>351</v>
      </c>
      <c r="BJ40" s="53" t="s">
        <v>153</v>
      </c>
      <c r="BK40" s="53" t="s">
        <v>384</v>
      </c>
      <c r="BL40" s="53" t="s">
        <v>385</v>
      </c>
    </row>
    <row r="41" spans="1:64">
      <c r="A41" s="53" t="s">
        <v>141</v>
      </c>
      <c r="B41" s="53">
        <v>2</v>
      </c>
      <c r="C41" s="53" t="s">
        <v>386</v>
      </c>
      <c r="D41" s="53" t="s">
        <v>387</v>
      </c>
      <c r="E41" s="53" t="s">
        <v>740</v>
      </c>
      <c r="F41" s="53">
        <v>1203</v>
      </c>
      <c r="G41" s="53">
        <v>19154</v>
      </c>
      <c r="H41" s="53">
        <f t="shared" si="0"/>
        <v>6.2806724443980375E-2</v>
      </c>
      <c r="I41" s="53" t="s">
        <v>388</v>
      </c>
      <c r="J41" s="53">
        <v>4</v>
      </c>
      <c r="K41" s="53">
        <v>6</v>
      </c>
      <c r="L41" s="53" t="s">
        <v>382</v>
      </c>
      <c r="M41" s="53" t="s">
        <v>168</v>
      </c>
      <c r="N41" s="53">
        <v>14.8</v>
      </c>
      <c r="O41" s="53">
        <v>12.5</v>
      </c>
      <c r="P41" s="53">
        <v>13.8</v>
      </c>
      <c r="Q41" s="53">
        <v>22</v>
      </c>
      <c r="R41" s="53">
        <v>321</v>
      </c>
      <c r="S41" s="53">
        <v>286.96511627907</v>
      </c>
      <c r="T41" s="53">
        <v>24.569767441860499</v>
      </c>
      <c r="U41" s="53">
        <v>4.2279069767441797</v>
      </c>
      <c r="V41" s="53">
        <v>6.5581395348837201</v>
      </c>
      <c r="W41" s="53" t="s">
        <v>389</v>
      </c>
      <c r="X41" s="53">
        <v>1918861</v>
      </c>
      <c r="Y41" s="53">
        <v>1</v>
      </c>
      <c r="Z41" s="53">
        <v>53572.261421319803</v>
      </c>
      <c r="AA41" s="53">
        <v>0.93574059732082404</v>
      </c>
      <c r="AB41" s="53">
        <v>0.86912316348413399</v>
      </c>
      <c r="AC41" s="53">
        <v>46560.8933214965</v>
      </c>
      <c r="AD41" s="53">
        <v>1536265961.0001199</v>
      </c>
      <c r="AE41" s="53">
        <v>23670</v>
      </c>
      <c r="AF41" s="53">
        <v>1.39394887577808</v>
      </c>
      <c r="AG41" s="53">
        <v>32994.769889667201</v>
      </c>
      <c r="AH41" s="53">
        <v>2.7504441624365401</v>
      </c>
      <c r="AI41" s="53">
        <v>4.9010152284263997</v>
      </c>
      <c r="AJ41" s="53" t="s">
        <v>390</v>
      </c>
      <c r="AK41" s="53" t="s">
        <v>139</v>
      </c>
      <c r="AL41" s="53" t="s">
        <v>391</v>
      </c>
      <c r="AM41" s="53" t="s">
        <v>178</v>
      </c>
      <c r="AN41" s="53">
        <v>2.4</v>
      </c>
      <c r="AO41" s="53" t="s">
        <v>159</v>
      </c>
      <c r="AP41" s="53">
        <v>331</v>
      </c>
      <c r="AQ41" s="53">
        <v>630</v>
      </c>
      <c r="AR41" s="53">
        <v>6.7</v>
      </c>
      <c r="AS41" s="53">
        <v>175</v>
      </c>
      <c r="AT41" s="53" t="s">
        <v>148</v>
      </c>
      <c r="AU41" s="53" t="s">
        <v>220</v>
      </c>
      <c r="AV41" s="53">
        <v>12</v>
      </c>
      <c r="AW41" s="53" t="s">
        <v>178</v>
      </c>
      <c r="AX41" s="53">
        <v>40</v>
      </c>
      <c r="AY41" s="53">
        <v>4950</v>
      </c>
      <c r="AZ41" s="53">
        <v>1980</v>
      </c>
      <c r="BA41" s="53">
        <v>1865</v>
      </c>
      <c r="BB41" s="53">
        <v>2850</v>
      </c>
      <c r="BC41" s="53">
        <v>7</v>
      </c>
      <c r="BD41" s="53">
        <v>2540</v>
      </c>
      <c r="BE41" s="53">
        <v>2360</v>
      </c>
      <c r="BF41" s="53" t="s">
        <v>150</v>
      </c>
      <c r="BG41" s="53" t="s">
        <v>230</v>
      </c>
      <c r="BH41" s="53" t="s">
        <v>152</v>
      </c>
      <c r="BI41" s="53" t="s">
        <v>153</v>
      </c>
      <c r="BJ41" s="53" t="s">
        <v>153</v>
      </c>
      <c r="BK41" s="53" t="s">
        <v>392</v>
      </c>
      <c r="BL41" s="53" t="s">
        <v>393</v>
      </c>
    </row>
    <row r="42" spans="1:64">
      <c r="A42" s="53" t="s">
        <v>312</v>
      </c>
      <c r="B42" s="53">
        <v>1</v>
      </c>
      <c r="C42" s="53" t="s">
        <v>386</v>
      </c>
      <c r="D42" s="53" t="s">
        <v>395</v>
      </c>
      <c r="E42" s="53" t="s">
        <v>740</v>
      </c>
      <c r="F42" s="53"/>
      <c r="G42" s="53"/>
      <c r="H42" s="53" t="str">
        <f t="shared" si="0"/>
        <v/>
      </c>
      <c r="I42" s="53"/>
      <c r="J42" s="53">
        <v>4</v>
      </c>
      <c r="K42" s="53">
        <v>6</v>
      </c>
      <c r="L42" s="53" t="s">
        <v>346</v>
      </c>
      <c r="M42" s="53" t="s">
        <v>168</v>
      </c>
      <c r="N42" s="53">
        <v>15.4</v>
      </c>
      <c r="O42" s="53">
        <v>12.1</v>
      </c>
      <c r="P42" s="53">
        <v>13.9</v>
      </c>
      <c r="Q42" s="53">
        <v>22</v>
      </c>
      <c r="R42" s="53">
        <v>320</v>
      </c>
      <c r="S42" s="53">
        <v>225.09039548022599</v>
      </c>
      <c r="T42" s="53">
        <v>29.748587570621499</v>
      </c>
      <c r="U42" s="53">
        <v>2.7225988700564998</v>
      </c>
      <c r="V42" s="53">
        <v>4.7401129943502802</v>
      </c>
      <c r="W42" s="53" t="s">
        <v>396</v>
      </c>
      <c r="X42" s="53">
        <v>1918861</v>
      </c>
      <c r="Y42" s="53">
        <v>1</v>
      </c>
      <c r="Z42" s="53">
        <v>63312.672588832502</v>
      </c>
      <c r="AA42" s="53">
        <v>0.74870551410382402</v>
      </c>
      <c r="AB42" s="53">
        <v>0.73649204294543602</v>
      </c>
      <c r="AC42" s="53">
        <v>46629.279579284703</v>
      </c>
      <c r="AD42" s="53">
        <v>1100661057.05826</v>
      </c>
      <c r="AE42" s="53">
        <v>23670</v>
      </c>
      <c r="AF42" s="53">
        <v>0.99723298999145105</v>
      </c>
      <c r="AG42" s="53">
        <v>23604.504873097601</v>
      </c>
      <c r="AH42" s="53">
        <v>2.7504441624365401</v>
      </c>
      <c r="AI42" s="53">
        <v>4.9010152284263997</v>
      </c>
      <c r="AJ42" s="53" t="s">
        <v>390</v>
      </c>
      <c r="AK42" s="53" t="s">
        <v>139</v>
      </c>
      <c r="AL42" s="53" t="s">
        <v>391</v>
      </c>
      <c r="AM42" s="53" t="s">
        <v>146</v>
      </c>
      <c r="AN42" s="53">
        <v>4</v>
      </c>
      <c r="AO42" s="53" t="s">
        <v>186</v>
      </c>
      <c r="AP42" s="53">
        <v>276</v>
      </c>
      <c r="AQ42" s="53">
        <v>380</v>
      </c>
      <c r="AR42" s="53">
        <v>8.1999999999999993</v>
      </c>
      <c r="AS42" s="53">
        <v>180</v>
      </c>
      <c r="AT42" s="53" t="s">
        <v>348</v>
      </c>
      <c r="AU42" s="53" t="s">
        <v>220</v>
      </c>
      <c r="AV42" s="53">
        <v>11.4</v>
      </c>
      <c r="AW42" s="53" t="s">
        <v>146</v>
      </c>
      <c r="AX42" s="53">
        <v>35</v>
      </c>
      <c r="AY42" s="53">
        <v>4671</v>
      </c>
      <c r="AZ42" s="53">
        <v>1905</v>
      </c>
      <c r="BA42" s="53">
        <v>1830</v>
      </c>
      <c r="BB42" s="53">
        <v>2690</v>
      </c>
      <c r="BC42" s="53">
        <v>5</v>
      </c>
      <c r="BD42" s="53">
        <v>1892</v>
      </c>
      <c r="BE42" s="53">
        <v>2015</v>
      </c>
      <c r="BF42" s="53" t="s">
        <v>150</v>
      </c>
      <c r="BG42" s="53" t="s">
        <v>230</v>
      </c>
      <c r="BH42" s="53" t="s">
        <v>350</v>
      </c>
      <c r="BI42" s="53" t="s">
        <v>351</v>
      </c>
      <c r="BJ42" s="53" t="s">
        <v>153</v>
      </c>
      <c r="BK42" s="53" t="s">
        <v>397</v>
      </c>
      <c r="BL42" s="53" t="s">
        <v>398</v>
      </c>
    </row>
    <row r="43" spans="1:64">
      <c r="A43" s="53" t="s">
        <v>141</v>
      </c>
      <c r="B43" s="53">
        <v>2</v>
      </c>
      <c r="C43" s="53" t="s">
        <v>386</v>
      </c>
      <c r="D43" s="53" t="s">
        <v>400</v>
      </c>
      <c r="E43" s="53" t="s">
        <v>740</v>
      </c>
      <c r="F43" s="53">
        <v>1299</v>
      </c>
      <c r="G43" s="53">
        <v>19154</v>
      </c>
      <c r="H43" s="53">
        <f t="shared" si="0"/>
        <v>6.7818732379659602E-2</v>
      </c>
      <c r="I43" s="53" t="s">
        <v>401</v>
      </c>
      <c r="J43" s="53">
        <v>3.5</v>
      </c>
      <c r="K43" s="53">
        <v>6</v>
      </c>
      <c r="L43" s="53" t="s">
        <v>402</v>
      </c>
      <c r="M43" s="53" t="s">
        <v>168</v>
      </c>
      <c r="N43" s="53">
        <v>13</v>
      </c>
      <c r="O43" s="53">
        <v>9.8000000000000007</v>
      </c>
      <c r="P43" s="53">
        <v>11.6</v>
      </c>
      <c r="Q43" s="53">
        <v>42</v>
      </c>
      <c r="R43" s="53">
        <v>272</v>
      </c>
      <c r="S43" s="53">
        <v>286.96511627907</v>
      </c>
      <c r="T43" s="53">
        <v>29.748587570621499</v>
      </c>
      <c r="U43" s="53">
        <v>4.2279069767441797</v>
      </c>
      <c r="V43" s="53">
        <v>6.5581395348837201</v>
      </c>
      <c r="W43" s="53" t="s">
        <v>403</v>
      </c>
      <c r="X43" s="53">
        <v>1918861</v>
      </c>
      <c r="Y43" s="53">
        <v>1</v>
      </c>
      <c r="Z43" s="53">
        <v>63312.672588832502</v>
      </c>
      <c r="AA43" s="53">
        <v>1.7744689327024299</v>
      </c>
      <c r="AB43" s="53">
        <v>1.64814058159955</v>
      </c>
      <c r="AC43" s="53">
        <v>88294.618096537</v>
      </c>
      <c r="AD43" s="53">
        <v>2913260606.59128</v>
      </c>
      <c r="AE43" s="53">
        <v>23670</v>
      </c>
      <c r="AF43" s="53">
        <v>1.39394887577808</v>
      </c>
      <c r="AG43" s="53">
        <v>32994.769889667201</v>
      </c>
      <c r="AH43" s="53">
        <v>2.7504441624365401</v>
      </c>
      <c r="AI43" s="53">
        <v>4.9010152284263997</v>
      </c>
      <c r="AJ43" s="53" t="s">
        <v>390</v>
      </c>
      <c r="AK43" s="53" t="s">
        <v>139</v>
      </c>
      <c r="AL43" s="53" t="s">
        <v>391</v>
      </c>
      <c r="AM43" s="53" t="s">
        <v>178</v>
      </c>
      <c r="AN43" s="53">
        <v>2.5</v>
      </c>
      <c r="AO43" s="53" t="s">
        <v>147</v>
      </c>
      <c r="AP43" s="53">
        <v>248</v>
      </c>
      <c r="AQ43" s="53">
        <v>380</v>
      </c>
      <c r="AR43" s="53">
        <v>8.3000000000000007</v>
      </c>
      <c r="AS43" s="53">
        <v>180</v>
      </c>
      <c r="AT43" s="53" t="s">
        <v>404</v>
      </c>
      <c r="AU43" s="53" t="s">
        <v>149</v>
      </c>
      <c r="AV43" s="53">
        <v>8.6999999999999993</v>
      </c>
      <c r="AW43" s="53" t="s">
        <v>178</v>
      </c>
      <c r="AX43" s="53">
        <v>41</v>
      </c>
      <c r="AY43" s="53">
        <v>4966</v>
      </c>
      <c r="AZ43" s="53">
        <v>1930</v>
      </c>
      <c r="BA43" s="53">
        <v>1755</v>
      </c>
      <c r="BB43" s="53">
        <v>2850</v>
      </c>
      <c r="BC43" s="53">
        <v>7</v>
      </c>
      <c r="BD43" s="53">
        <v>2387</v>
      </c>
      <c r="BE43" s="53">
        <v>2110</v>
      </c>
      <c r="BF43" s="53" t="s">
        <v>160</v>
      </c>
      <c r="BG43" s="53" t="s">
        <v>151</v>
      </c>
      <c r="BH43" s="53" t="s">
        <v>152</v>
      </c>
      <c r="BI43" s="53" t="s">
        <v>153</v>
      </c>
      <c r="BJ43" s="53" t="s">
        <v>153</v>
      </c>
      <c r="BK43" s="53" t="s">
        <v>405</v>
      </c>
      <c r="BL43" s="53" t="s">
        <v>406</v>
      </c>
    </row>
    <row r="44" spans="1:64">
      <c r="A44" s="53" t="s">
        <v>141</v>
      </c>
      <c r="B44" s="53">
        <v>2</v>
      </c>
      <c r="C44" s="53" t="s">
        <v>386</v>
      </c>
      <c r="D44" s="53" t="s">
        <v>408</v>
      </c>
      <c r="E44" s="53" t="s">
        <v>741</v>
      </c>
      <c r="F44" s="53">
        <v>3022</v>
      </c>
      <c r="G44" s="53">
        <v>19154</v>
      </c>
      <c r="H44" s="53">
        <f t="shared" si="0"/>
        <v>0.15777383314190246</v>
      </c>
      <c r="I44" s="53" t="s">
        <v>408</v>
      </c>
      <c r="J44" s="53">
        <v>2.5</v>
      </c>
      <c r="K44" s="53">
        <v>4</v>
      </c>
      <c r="L44" s="53" t="s">
        <v>402</v>
      </c>
      <c r="M44" s="53" t="s">
        <v>168</v>
      </c>
      <c r="N44" s="53">
        <v>10.7</v>
      </c>
      <c r="O44" s="53">
        <v>8.4</v>
      </c>
      <c r="P44" s="53">
        <v>9.6999999999999993</v>
      </c>
      <c r="Q44" s="53">
        <v>47</v>
      </c>
      <c r="R44" s="53">
        <v>226</v>
      </c>
      <c r="S44" s="53">
        <v>225.09039548022599</v>
      </c>
      <c r="T44" s="53">
        <v>29.748587570621499</v>
      </c>
      <c r="U44" s="53">
        <v>2.7225988700564998</v>
      </c>
      <c r="V44" s="53">
        <v>4.7401129943502802</v>
      </c>
      <c r="W44" s="53" t="s">
        <v>409</v>
      </c>
      <c r="X44" s="53">
        <v>1918861</v>
      </c>
      <c r="Y44" s="53">
        <v>1</v>
      </c>
      <c r="Z44" s="53">
        <v>63312.672588832502</v>
      </c>
      <c r="AA44" s="53">
        <v>1.59963115228908</v>
      </c>
      <c r="AB44" s="53">
        <v>1.5735367151913</v>
      </c>
      <c r="AC44" s="53">
        <v>99624.814855413904</v>
      </c>
      <c r="AD44" s="53">
        <v>2351594427.7360702</v>
      </c>
      <c r="AE44" s="53">
        <v>23670</v>
      </c>
      <c r="AF44" s="53">
        <v>0.99723298999145105</v>
      </c>
      <c r="AG44" s="53">
        <v>23604.504873097601</v>
      </c>
      <c r="AH44" s="53">
        <v>2.7504441624365401</v>
      </c>
      <c r="AI44" s="53">
        <v>4.9010152284263997</v>
      </c>
      <c r="AJ44" s="53" t="s">
        <v>390</v>
      </c>
      <c r="AK44" s="53" t="s">
        <v>139</v>
      </c>
      <c r="AL44" s="53" t="s">
        <v>391</v>
      </c>
      <c r="AM44" s="53" t="s">
        <v>410</v>
      </c>
      <c r="AN44" s="53">
        <v>2.5</v>
      </c>
      <c r="AO44" s="53" t="s">
        <v>186</v>
      </c>
      <c r="AP44" s="53">
        <v>306</v>
      </c>
      <c r="AQ44" s="53">
        <v>366</v>
      </c>
      <c r="AR44" s="53">
        <v>5.8</v>
      </c>
      <c r="AS44" s="53">
        <v>180</v>
      </c>
      <c r="AT44" s="53" t="s">
        <v>411</v>
      </c>
      <c r="AU44" s="53" t="s">
        <v>149</v>
      </c>
      <c r="AV44" s="53">
        <v>7.5</v>
      </c>
      <c r="AW44" s="53" t="s">
        <v>410</v>
      </c>
      <c r="AX44" s="53">
        <v>41</v>
      </c>
      <c r="AY44" s="53">
        <v>4618</v>
      </c>
      <c r="AZ44" s="53">
        <v>1865</v>
      </c>
      <c r="BA44" s="53">
        <v>1690</v>
      </c>
      <c r="BB44" s="53">
        <v>2690</v>
      </c>
      <c r="BC44" s="53">
        <v>5</v>
      </c>
      <c r="BD44" s="53">
        <v>1977</v>
      </c>
      <c r="BE44" s="53">
        <v>1910</v>
      </c>
      <c r="BF44" s="53" t="s">
        <v>160</v>
      </c>
      <c r="BG44" s="53" t="s">
        <v>151</v>
      </c>
      <c r="BH44" s="53" t="s">
        <v>152</v>
      </c>
      <c r="BI44" s="53" t="s">
        <v>153</v>
      </c>
      <c r="BJ44" s="53" t="s">
        <v>153</v>
      </c>
      <c r="BK44" s="53" t="s">
        <v>412</v>
      </c>
      <c r="BL44" s="53" t="s">
        <v>413</v>
      </c>
    </row>
    <row r="45" spans="1:64">
      <c r="A45" s="53" t="s">
        <v>141</v>
      </c>
      <c r="B45" s="53">
        <v>2</v>
      </c>
      <c r="C45" s="53" t="s">
        <v>386</v>
      </c>
      <c r="D45" s="53" t="s">
        <v>414</v>
      </c>
      <c r="E45" s="53" t="s">
        <v>742</v>
      </c>
      <c r="F45" s="53">
        <v>104</v>
      </c>
      <c r="G45" s="53">
        <v>19154</v>
      </c>
      <c r="H45" s="53">
        <f t="shared" si="0"/>
        <v>5.429675263652501E-3</v>
      </c>
      <c r="I45" s="53" t="s">
        <v>414</v>
      </c>
      <c r="J45" s="53">
        <v>5.7</v>
      </c>
      <c r="K45" s="53">
        <v>8</v>
      </c>
      <c r="L45" s="53" t="s">
        <v>225</v>
      </c>
      <c r="M45" s="53" t="s">
        <v>168</v>
      </c>
      <c r="N45" s="53">
        <v>19</v>
      </c>
      <c r="O45" s="53">
        <v>14</v>
      </c>
      <c r="P45" s="53">
        <v>16.7</v>
      </c>
      <c r="Q45" s="53">
        <v>17</v>
      </c>
      <c r="R45" s="53">
        <v>385</v>
      </c>
      <c r="S45" s="53">
        <v>286.96511627907</v>
      </c>
      <c r="T45" s="53">
        <v>24.569767441860499</v>
      </c>
      <c r="U45" s="53">
        <v>4.2279069767441797</v>
      </c>
      <c r="V45" s="53">
        <v>6.5581395348837201</v>
      </c>
      <c r="W45" s="53" t="s">
        <v>415</v>
      </c>
      <c r="X45" s="53">
        <v>1918861</v>
      </c>
      <c r="Y45" s="53">
        <v>1</v>
      </c>
      <c r="Z45" s="53">
        <v>53572.261421319803</v>
      </c>
      <c r="AA45" s="53">
        <v>0.72353929975943099</v>
      </c>
      <c r="AB45" s="53">
        <v>0.67202894361161103</v>
      </c>
      <c r="AC45" s="53">
        <v>36002.110249854602</v>
      </c>
      <c r="AD45" s="53">
        <v>1187881343.2363801</v>
      </c>
      <c r="AE45" s="53">
        <v>23670</v>
      </c>
      <c r="AF45" s="53">
        <v>1.39394887577808</v>
      </c>
      <c r="AG45" s="53">
        <v>32994.769889667201</v>
      </c>
      <c r="AH45" s="53">
        <v>2.7504441624365401</v>
      </c>
      <c r="AI45" s="53">
        <v>4.9010152284263997</v>
      </c>
      <c r="AJ45" s="53" t="s">
        <v>390</v>
      </c>
      <c r="AK45" s="53" t="s">
        <v>139</v>
      </c>
      <c r="AL45" s="53" t="s">
        <v>391</v>
      </c>
      <c r="AM45" s="53" t="s">
        <v>229</v>
      </c>
      <c r="AN45" s="53">
        <v>3.5</v>
      </c>
      <c r="AO45" s="53" t="s">
        <v>219</v>
      </c>
      <c r="AP45" s="53">
        <v>443</v>
      </c>
      <c r="AQ45" s="53">
        <v>790</v>
      </c>
      <c r="AR45" s="53">
        <v>5.6</v>
      </c>
      <c r="AS45" s="53">
        <v>175</v>
      </c>
      <c r="AT45" s="53" t="s">
        <v>148</v>
      </c>
      <c r="AU45" s="53" t="s">
        <v>220</v>
      </c>
      <c r="AV45" s="53">
        <v>11.7</v>
      </c>
      <c r="AW45" s="53" t="s">
        <v>229</v>
      </c>
      <c r="AX45" s="53">
        <v>40</v>
      </c>
      <c r="AY45" s="53">
        <v>5286</v>
      </c>
      <c r="AZ45" s="53">
        <v>2022</v>
      </c>
      <c r="BA45" s="53">
        <v>1895</v>
      </c>
      <c r="BB45" s="53">
        <v>3099</v>
      </c>
      <c r="BC45" s="53">
        <v>8</v>
      </c>
      <c r="BD45" s="53">
        <v>2461</v>
      </c>
      <c r="BE45" s="53">
        <v>2810</v>
      </c>
      <c r="BF45" s="53" t="s">
        <v>150</v>
      </c>
      <c r="BG45" s="53" t="s">
        <v>230</v>
      </c>
      <c r="BH45" s="53" t="s">
        <v>152</v>
      </c>
      <c r="BI45" s="53" t="s">
        <v>153</v>
      </c>
      <c r="BJ45" s="53" t="s">
        <v>153</v>
      </c>
      <c r="BK45" s="53" t="s">
        <v>416</v>
      </c>
      <c r="BL45" s="53" t="s">
        <v>417</v>
      </c>
    </row>
    <row r="46" spans="1:64">
      <c r="A46" s="53" t="s">
        <v>312</v>
      </c>
      <c r="B46" s="53">
        <v>1</v>
      </c>
      <c r="C46" s="53" t="s">
        <v>386</v>
      </c>
      <c r="D46" s="53" t="s">
        <v>418</v>
      </c>
      <c r="E46" s="53" t="s">
        <v>740</v>
      </c>
      <c r="F46" s="53"/>
      <c r="G46" s="53"/>
      <c r="H46" s="53" t="str">
        <f t="shared" si="0"/>
        <v/>
      </c>
      <c r="I46" s="53"/>
      <c r="J46" s="53">
        <v>3.5</v>
      </c>
      <c r="K46" s="53">
        <v>6</v>
      </c>
      <c r="L46" s="53" t="s">
        <v>225</v>
      </c>
      <c r="M46" s="53" t="s">
        <v>168</v>
      </c>
      <c r="N46" s="53">
        <v>12.9</v>
      </c>
      <c r="O46" s="53">
        <v>9.4</v>
      </c>
      <c r="P46" s="53">
        <v>11.3</v>
      </c>
      <c r="Q46" s="53">
        <v>28</v>
      </c>
      <c r="R46" s="53">
        <v>263</v>
      </c>
      <c r="S46" s="53">
        <v>225.09039548022599</v>
      </c>
      <c r="T46" s="53">
        <v>29.748587570621499</v>
      </c>
      <c r="U46" s="53">
        <v>2.7225988700564998</v>
      </c>
      <c r="V46" s="53">
        <v>4.7401129943502802</v>
      </c>
      <c r="W46" s="53" t="s">
        <v>419</v>
      </c>
      <c r="X46" s="53">
        <v>1918861</v>
      </c>
      <c r="Y46" s="53">
        <v>1</v>
      </c>
      <c r="Z46" s="53">
        <v>63312.672588832502</v>
      </c>
      <c r="AA46" s="53">
        <v>0.95993752498880303</v>
      </c>
      <c r="AB46" s="53">
        <v>0.94427827171171297</v>
      </c>
      <c r="AC46" s="53">
        <v>59784.7810496323</v>
      </c>
      <c r="AD46" s="53">
        <v>1411190155.6231201</v>
      </c>
      <c r="AE46" s="53">
        <v>23670</v>
      </c>
      <c r="AF46" s="53">
        <v>0.99723298999145105</v>
      </c>
      <c r="AG46" s="53">
        <v>23604.504873097601</v>
      </c>
      <c r="AH46" s="53">
        <v>2.7504441624365401</v>
      </c>
      <c r="AI46" s="53">
        <v>4.9010152284263997</v>
      </c>
      <c r="AJ46" s="53" t="s">
        <v>390</v>
      </c>
      <c r="AK46" s="53" t="s">
        <v>139</v>
      </c>
      <c r="AL46" s="53" t="s">
        <v>391</v>
      </c>
      <c r="AM46" s="53" t="s">
        <v>178</v>
      </c>
      <c r="AN46" s="53">
        <v>2.5</v>
      </c>
      <c r="AO46" s="53" t="s">
        <v>186</v>
      </c>
      <c r="AP46" s="53">
        <v>222</v>
      </c>
      <c r="AQ46" s="53">
        <v>221</v>
      </c>
      <c r="AR46" s="53">
        <v>7.8</v>
      </c>
      <c r="AS46" s="53">
        <v>180</v>
      </c>
      <c r="AT46" s="53" t="s">
        <v>420</v>
      </c>
      <c r="AU46" s="53" t="s">
        <v>149</v>
      </c>
      <c r="AV46" s="53">
        <v>6.8</v>
      </c>
      <c r="AW46" s="53" t="s">
        <v>178</v>
      </c>
      <c r="AX46" s="53">
        <v>41</v>
      </c>
      <c r="AY46" s="53">
        <v>4740</v>
      </c>
      <c r="AZ46" s="53">
        <v>1855</v>
      </c>
      <c r="BA46" s="53">
        <v>1660</v>
      </c>
      <c r="BB46" s="53">
        <v>2690</v>
      </c>
      <c r="BC46" s="53">
        <v>5</v>
      </c>
      <c r="BD46" s="53">
        <v>1560</v>
      </c>
      <c r="BE46" s="53">
        <v>1780</v>
      </c>
      <c r="BF46" s="53" t="s">
        <v>160</v>
      </c>
      <c r="BG46" s="53" t="s">
        <v>151</v>
      </c>
      <c r="BH46" s="53" t="s">
        <v>152</v>
      </c>
      <c r="BI46" s="53" t="s">
        <v>153</v>
      </c>
      <c r="BJ46" s="53" t="s">
        <v>153</v>
      </c>
      <c r="BK46" s="53" t="s">
        <v>421</v>
      </c>
      <c r="BL46" s="53" t="s">
        <v>422</v>
      </c>
    </row>
  </sheetData>
  <autoFilter ref="A3:BL46" xr:uid="{00000000-0001-0000-0000-000000000000}"/>
  <mergeCells count="7">
    <mergeCell ref="A2:E2"/>
    <mergeCell ref="F2:I2"/>
    <mergeCell ref="AE2:AL2"/>
    <mergeCell ref="A1:BL1"/>
    <mergeCell ref="J2:W2"/>
    <mergeCell ref="X2:AD2"/>
    <mergeCell ref="AM2:BL2"/>
  </mergeCells>
  <phoneticPr fontId="49" type="noConversion"/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"/>
  <sheetViews>
    <sheetView topLeftCell="A22" workbookViewId="0">
      <selection sqref="A1:F1"/>
    </sheetView>
  </sheetViews>
  <sheetFormatPr baseColWidth="10" defaultColWidth="8.6640625" defaultRowHeight="14.4"/>
  <cols>
    <col min="1" max="1" width="28" customWidth="1"/>
    <col min="2" max="2" width="30" customWidth="1"/>
    <col min="3" max="5" width="14" customWidth="1"/>
    <col min="6" max="6" width="20" customWidth="1"/>
  </cols>
  <sheetData>
    <row r="1" spans="1:6" ht="48" customHeight="1">
      <c r="A1" s="65" t="s">
        <v>423</v>
      </c>
      <c r="B1" s="60"/>
      <c r="C1" s="60"/>
      <c r="D1" s="60"/>
      <c r="E1" s="60"/>
      <c r="F1" s="60"/>
    </row>
    <row r="2" spans="1:6" ht="24" customHeight="1">
      <c r="A2" s="68" t="s">
        <v>424</v>
      </c>
      <c r="B2" s="60"/>
      <c r="C2" s="60"/>
      <c r="D2" s="60"/>
      <c r="E2" s="60"/>
      <c r="F2" s="60"/>
    </row>
    <row r="4" spans="1:6" ht="34.049999999999997" customHeight="1">
      <c r="A4" s="70" t="s">
        <v>425</v>
      </c>
      <c r="B4" s="60"/>
      <c r="C4" s="60"/>
      <c r="D4" s="60"/>
      <c r="E4" s="60"/>
      <c r="F4" s="60"/>
    </row>
    <row r="5" spans="1:6" ht="25.95" customHeight="1">
      <c r="A5" s="1" t="s">
        <v>426</v>
      </c>
      <c r="B5" s="2" t="s">
        <v>427</v>
      </c>
      <c r="C5" s="1" t="s">
        <v>428</v>
      </c>
      <c r="D5" s="2" t="s">
        <v>429</v>
      </c>
      <c r="E5" s="1" t="s">
        <v>430</v>
      </c>
      <c r="F5" s="2" t="s">
        <v>431</v>
      </c>
    </row>
    <row r="6" spans="1:6" ht="48" customHeight="1">
      <c r="A6" s="3" t="s">
        <v>432</v>
      </c>
      <c r="B6" s="3" t="s">
        <v>433</v>
      </c>
      <c r="C6" s="4" t="s">
        <v>434</v>
      </c>
      <c r="D6" s="5" t="s">
        <v>435</v>
      </c>
      <c r="E6" s="4" t="s">
        <v>436</v>
      </c>
      <c r="F6" s="5" t="s">
        <v>437</v>
      </c>
    </row>
    <row r="7" spans="1:6" ht="48" customHeight="1">
      <c r="A7" s="3" t="s">
        <v>438</v>
      </c>
      <c r="B7" s="3" t="s">
        <v>439</v>
      </c>
      <c r="C7" s="4" t="s">
        <v>440</v>
      </c>
      <c r="D7" s="5" t="s">
        <v>441</v>
      </c>
      <c r="E7" s="5" t="s">
        <v>442</v>
      </c>
      <c r="F7" s="5" t="s">
        <v>443</v>
      </c>
    </row>
    <row r="8" spans="1:6" ht="48" customHeight="1">
      <c r="A8" s="3" t="s">
        <v>444</v>
      </c>
      <c r="B8" s="3" t="s">
        <v>445</v>
      </c>
      <c r="C8" s="4" t="s">
        <v>440</v>
      </c>
      <c r="D8" s="5" t="s">
        <v>441</v>
      </c>
      <c r="E8" s="5" t="s">
        <v>446</v>
      </c>
      <c r="F8" s="5" t="s">
        <v>447</v>
      </c>
    </row>
    <row r="10" spans="1:6" ht="34.049999999999997" customHeight="1">
      <c r="A10" s="70" t="s">
        <v>448</v>
      </c>
      <c r="B10" s="60"/>
      <c r="C10" s="60"/>
      <c r="D10" s="60"/>
      <c r="E10" s="60"/>
      <c r="F10" s="60"/>
    </row>
    <row r="11" spans="1:6" ht="25.95" customHeight="1">
      <c r="A11" s="1" t="s">
        <v>449</v>
      </c>
      <c r="B11" s="2" t="s">
        <v>450</v>
      </c>
      <c r="C11" s="1" t="s">
        <v>451</v>
      </c>
      <c r="D11" s="2" t="s">
        <v>452</v>
      </c>
      <c r="E11" s="1" t="s">
        <v>453</v>
      </c>
      <c r="F11" s="2" t="s">
        <v>454</v>
      </c>
    </row>
    <row r="12" spans="1:6" ht="48" customHeight="1">
      <c r="A12" s="6" t="s">
        <v>455</v>
      </c>
      <c r="B12" s="7" t="s">
        <v>456</v>
      </c>
      <c r="C12" s="8" t="s">
        <v>457</v>
      </c>
      <c r="D12" s="9" t="s">
        <v>458</v>
      </c>
      <c r="E12" s="67" t="s">
        <v>459</v>
      </c>
      <c r="F12" s="60"/>
    </row>
    <row r="13" spans="1:6" ht="48" customHeight="1">
      <c r="A13" s="10" t="s">
        <v>460</v>
      </c>
      <c r="B13" s="7" t="s">
        <v>461</v>
      </c>
      <c r="C13" s="8" t="s">
        <v>462</v>
      </c>
      <c r="D13" s="9" t="s">
        <v>458</v>
      </c>
      <c r="E13" s="64" t="s">
        <v>463</v>
      </c>
      <c r="F13" s="60"/>
    </row>
    <row r="14" spans="1:6" ht="48" customHeight="1">
      <c r="A14" s="11" t="s">
        <v>464</v>
      </c>
      <c r="B14" s="7" t="s">
        <v>465</v>
      </c>
      <c r="C14" s="8" t="s">
        <v>466</v>
      </c>
      <c r="D14" s="9" t="s">
        <v>458</v>
      </c>
      <c r="E14" s="67" t="s">
        <v>467</v>
      </c>
      <c r="F14" s="60"/>
    </row>
    <row r="15" spans="1:6" ht="48" customHeight="1">
      <c r="A15" s="12" t="s">
        <v>468</v>
      </c>
      <c r="B15" s="7" t="s">
        <v>469</v>
      </c>
      <c r="C15" s="8" t="s">
        <v>470</v>
      </c>
      <c r="D15" s="9" t="s">
        <v>458</v>
      </c>
      <c r="E15" s="67" t="s">
        <v>471</v>
      </c>
      <c r="F15" s="60"/>
    </row>
    <row r="16" spans="1:6" ht="48" customHeight="1">
      <c r="A16" s="13" t="s">
        <v>472</v>
      </c>
      <c r="B16" s="7" t="s">
        <v>473</v>
      </c>
      <c r="C16" s="8" t="s">
        <v>474</v>
      </c>
      <c r="D16" s="9" t="s">
        <v>458</v>
      </c>
      <c r="E16" s="67" t="s">
        <v>475</v>
      </c>
      <c r="F16" s="60"/>
    </row>
    <row r="17" spans="1:6" ht="48" customHeight="1">
      <c r="A17" s="14" t="s">
        <v>476</v>
      </c>
      <c r="B17" s="7" t="s">
        <v>477</v>
      </c>
      <c r="C17" s="8" t="s">
        <v>478</v>
      </c>
      <c r="D17" s="9" t="s">
        <v>458</v>
      </c>
      <c r="E17" s="67" t="s">
        <v>479</v>
      </c>
      <c r="F17" s="60"/>
    </row>
    <row r="19" spans="1:6" ht="34.049999999999997" customHeight="1">
      <c r="A19" s="70" t="s">
        <v>480</v>
      </c>
      <c r="B19" s="60"/>
      <c r="C19" s="60"/>
      <c r="D19" s="60"/>
      <c r="E19" s="60"/>
      <c r="F19" s="60"/>
    </row>
    <row r="20" spans="1:6" ht="25.95" customHeight="1">
      <c r="A20" s="1" t="s">
        <v>481</v>
      </c>
      <c r="B20" s="2" t="s">
        <v>482</v>
      </c>
      <c r="C20" s="1" t="s">
        <v>483</v>
      </c>
      <c r="D20" s="2" t="s">
        <v>484</v>
      </c>
      <c r="E20" s="1" t="s">
        <v>453</v>
      </c>
      <c r="F20" s="2" t="s">
        <v>454</v>
      </c>
    </row>
    <row r="21" spans="1:6" ht="48" customHeight="1">
      <c r="A21" s="15" t="s">
        <v>485</v>
      </c>
      <c r="B21" s="7" t="s">
        <v>486</v>
      </c>
      <c r="C21" s="16" t="s">
        <v>487</v>
      </c>
      <c r="D21" s="17" t="s">
        <v>488</v>
      </c>
      <c r="E21" s="67" t="s">
        <v>489</v>
      </c>
      <c r="F21" s="60"/>
    </row>
    <row r="22" spans="1:6" ht="48" customHeight="1">
      <c r="A22" s="15" t="s">
        <v>490</v>
      </c>
      <c r="B22" s="7" t="s">
        <v>491</v>
      </c>
      <c r="C22" s="16" t="s">
        <v>492</v>
      </c>
      <c r="D22" s="17" t="s">
        <v>493</v>
      </c>
      <c r="E22" s="67" t="s">
        <v>494</v>
      </c>
      <c r="F22" s="60"/>
    </row>
    <row r="23" spans="1:6" ht="48" customHeight="1">
      <c r="A23" s="15" t="s">
        <v>495</v>
      </c>
      <c r="B23" s="7" t="s">
        <v>496</v>
      </c>
      <c r="C23" s="16" t="s">
        <v>497</v>
      </c>
      <c r="D23" s="17" t="s">
        <v>498</v>
      </c>
      <c r="E23" s="67" t="s">
        <v>499</v>
      </c>
      <c r="F23" s="60"/>
    </row>
    <row r="24" spans="1:6" ht="48" customHeight="1">
      <c r="A24" s="15" t="s">
        <v>500</v>
      </c>
      <c r="B24" s="7" t="s">
        <v>501</v>
      </c>
      <c r="C24" s="16" t="s">
        <v>502</v>
      </c>
      <c r="D24" s="17" t="s">
        <v>503</v>
      </c>
      <c r="E24" s="67" t="s">
        <v>504</v>
      </c>
      <c r="F24" s="60"/>
    </row>
    <row r="25" spans="1:6" ht="48" customHeight="1">
      <c r="A25" s="15" t="s">
        <v>505</v>
      </c>
      <c r="B25" s="7" t="s">
        <v>506</v>
      </c>
      <c r="C25" s="16" t="s">
        <v>507</v>
      </c>
      <c r="D25" s="17" t="s">
        <v>508</v>
      </c>
      <c r="E25" s="64" t="s">
        <v>509</v>
      </c>
      <c r="F25" s="60"/>
    </row>
    <row r="27" spans="1:6" ht="34.049999999999997" customHeight="1">
      <c r="A27" s="70" t="s">
        <v>510</v>
      </c>
      <c r="B27" s="60"/>
      <c r="C27" s="60"/>
      <c r="D27" s="60"/>
      <c r="E27" s="60"/>
      <c r="F27" s="60"/>
    </row>
    <row r="28" spans="1:6" ht="25.95" customHeight="1">
      <c r="A28" s="1" t="s">
        <v>511</v>
      </c>
      <c r="B28" s="2" t="s">
        <v>512</v>
      </c>
      <c r="C28" s="1" t="s">
        <v>513</v>
      </c>
      <c r="D28" s="2" t="s">
        <v>514</v>
      </c>
      <c r="E28" s="1" t="s">
        <v>515</v>
      </c>
      <c r="F28" s="2" t="s">
        <v>516</v>
      </c>
    </row>
    <row r="29" spans="1:6" ht="40.049999999999997" customHeight="1">
      <c r="A29" s="18" t="s">
        <v>164</v>
      </c>
      <c r="B29" s="4" t="s">
        <v>517</v>
      </c>
      <c r="C29" s="5" t="s">
        <v>518</v>
      </c>
      <c r="D29" s="19" t="s">
        <v>519</v>
      </c>
      <c r="E29" s="64" t="s">
        <v>520</v>
      </c>
      <c r="F29" s="60"/>
    </row>
    <row r="30" spans="1:6" ht="40.049999999999997" customHeight="1">
      <c r="A30" s="18" t="s">
        <v>141</v>
      </c>
      <c r="B30" s="4" t="s">
        <v>521</v>
      </c>
      <c r="C30" s="5" t="s">
        <v>522</v>
      </c>
      <c r="D30" s="20" t="s">
        <v>523</v>
      </c>
      <c r="E30" s="67" t="s">
        <v>524</v>
      </c>
      <c r="F30" s="60"/>
    </row>
    <row r="31" spans="1:6" ht="40.049999999999997" customHeight="1">
      <c r="A31" s="18" t="s">
        <v>279</v>
      </c>
      <c r="B31" s="4" t="s">
        <v>525</v>
      </c>
      <c r="C31" s="5" t="s">
        <v>526</v>
      </c>
      <c r="D31" s="21" t="s">
        <v>527</v>
      </c>
      <c r="E31" s="67" t="s">
        <v>528</v>
      </c>
      <c r="F31" s="60"/>
    </row>
    <row r="32" spans="1:6" ht="40.049999999999997" customHeight="1">
      <c r="A32" s="18" t="s">
        <v>205</v>
      </c>
      <c r="B32" s="4" t="s">
        <v>529</v>
      </c>
      <c r="C32" s="5" t="s">
        <v>530</v>
      </c>
      <c r="D32" s="22" t="s">
        <v>531</v>
      </c>
      <c r="E32" s="67" t="s">
        <v>532</v>
      </c>
      <c r="F32" s="60"/>
    </row>
    <row r="33" spans="1:6" ht="40.049999999999997" customHeight="1">
      <c r="A33" s="18" t="s">
        <v>312</v>
      </c>
      <c r="B33" s="4" t="s">
        <v>533</v>
      </c>
      <c r="C33" s="5" t="s">
        <v>534</v>
      </c>
      <c r="D33" s="23" t="s">
        <v>535</v>
      </c>
      <c r="E33" s="67" t="s">
        <v>536</v>
      </c>
      <c r="F33" s="60"/>
    </row>
    <row r="34" spans="1:6" ht="40.049999999999997" customHeight="1">
      <c r="A34" s="18" t="s">
        <v>135</v>
      </c>
      <c r="B34" s="4" t="s">
        <v>537</v>
      </c>
      <c r="C34" s="5" t="s">
        <v>538</v>
      </c>
      <c r="D34" s="24" t="s">
        <v>539</v>
      </c>
      <c r="E34" s="67" t="s">
        <v>540</v>
      </c>
      <c r="F34" s="60"/>
    </row>
    <row r="36" spans="1:6" ht="34.049999999999997" customHeight="1">
      <c r="A36" s="72" t="s">
        <v>541</v>
      </c>
      <c r="B36" s="60"/>
      <c r="C36" s="60"/>
      <c r="D36" s="60"/>
      <c r="E36" s="60"/>
      <c r="F36" s="60"/>
    </row>
    <row r="37" spans="1:6" ht="25.95" customHeight="1">
      <c r="A37" s="66" t="s">
        <v>542</v>
      </c>
      <c r="B37" s="60"/>
      <c r="C37" s="60"/>
      <c r="D37" s="60"/>
      <c r="E37" s="60"/>
      <c r="F37" s="60"/>
    </row>
    <row r="38" spans="1:6" ht="25.95" customHeight="1">
      <c r="A38" s="69" t="s">
        <v>543</v>
      </c>
      <c r="B38" s="60"/>
      <c r="C38" s="60"/>
      <c r="D38" s="60"/>
      <c r="E38" s="60"/>
      <c r="F38" s="60"/>
    </row>
    <row r="39" spans="1:6" ht="61.05" customHeight="1">
      <c r="A39" s="64" t="s">
        <v>544</v>
      </c>
      <c r="B39" s="60"/>
      <c r="C39" s="60"/>
      <c r="D39" s="60"/>
      <c r="E39" s="60"/>
      <c r="F39" s="60"/>
    </row>
    <row r="41" spans="1:6" ht="25.95" customHeight="1">
      <c r="A41" s="71" t="s">
        <v>545</v>
      </c>
      <c r="B41" s="60"/>
      <c r="C41" s="60"/>
      <c r="D41" s="60"/>
      <c r="E41" s="60"/>
      <c r="F41" s="60"/>
    </row>
    <row r="42" spans="1:6" ht="25.95" customHeight="1">
      <c r="A42" s="69" t="s">
        <v>546</v>
      </c>
      <c r="B42" s="60"/>
      <c r="C42" s="60"/>
      <c r="D42" s="60"/>
      <c r="E42" s="60"/>
      <c r="F42" s="60"/>
    </row>
    <row r="43" spans="1:6" ht="61.05" customHeight="1">
      <c r="A43" s="67" t="s">
        <v>547</v>
      </c>
      <c r="B43" s="60"/>
      <c r="C43" s="60"/>
      <c r="D43" s="60"/>
      <c r="E43" s="60"/>
      <c r="F43" s="60"/>
    </row>
    <row r="45" spans="1:6" ht="25.95" customHeight="1">
      <c r="A45" s="66" t="s">
        <v>548</v>
      </c>
      <c r="B45" s="60"/>
      <c r="C45" s="60"/>
      <c r="D45" s="60"/>
      <c r="E45" s="60"/>
      <c r="F45" s="60"/>
    </row>
    <row r="46" spans="1:6" ht="25.95" customHeight="1">
      <c r="A46" s="69" t="s">
        <v>549</v>
      </c>
      <c r="B46" s="60"/>
      <c r="C46" s="60"/>
      <c r="D46" s="60"/>
      <c r="E46" s="60"/>
      <c r="F46" s="60"/>
    </row>
    <row r="47" spans="1:6" ht="61.05" customHeight="1">
      <c r="A47" s="67" t="s">
        <v>550</v>
      </c>
      <c r="B47" s="60"/>
      <c r="C47" s="60"/>
      <c r="D47" s="60"/>
      <c r="E47" s="60"/>
      <c r="F47" s="60"/>
    </row>
    <row r="49" spans="1:6" ht="25.95" customHeight="1">
      <c r="A49" s="66" t="s">
        <v>551</v>
      </c>
      <c r="B49" s="60"/>
      <c r="C49" s="60"/>
      <c r="D49" s="60"/>
      <c r="E49" s="60"/>
      <c r="F49" s="60"/>
    </row>
    <row r="50" spans="1:6" ht="25.95" customHeight="1">
      <c r="A50" s="69" t="s">
        <v>552</v>
      </c>
      <c r="B50" s="60"/>
      <c r="C50" s="60"/>
      <c r="D50" s="60"/>
      <c r="E50" s="60"/>
      <c r="F50" s="60"/>
    </row>
    <row r="51" spans="1:6" ht="61.05" customHeight="1">
      <c r="A51" s="64" t="s">
        <v>553</v>
      </c>
      <c r="B51" s="60"/>
      <c r="C51" s="60"/>
      <c r="D51" s="60"/>
      <c r="E51" s="60"/>
      <c r="F51" s="60"/>
    </row>
    <row r="54" spans="1:6" ht="34.049999999999997" customHeight="1">
      <c r="A54" s="70" t="s">
        <v>554</v>
      </c>
      <c r="B54" s="60"/>
      <c r="C54" s="60"/>
      <c r="D54" s="60"/>
      <c r="E54" s="60"/>
      <c r="F54" s="60"/>
    </row>
    <row r="55" spans="1:6" ht="25.95" customHeight="1">
      <c r="A55" s="1" t="s">
        <v>555</v>
      </c>
      <c r="B55" s="1" t="s">
        <v>556</v>
      </c>
      <c r="C55" s="1" t="s">
        <v>557</v>
      </c>
      <c r="D55" s="1" t="s">
        <v>558</v>
      </c>
      <c r="E55" s="1" t="s">
        <v>559</v>
      </c>
    </row>
    <row r="56" spans="1:6" ht="28.95" customHeight="1">
      <c r="A56" s="25" t="s">
        <v>7</v>
      </c>
      <c r="B56" s="26" t="s">
        <v>71</v>
      </c>
      <c r="C56" s="6" t="s">
        <v>560</v>
      </c>
      <c r="D56" s="27" t="s">
        <v>561</v>
      </c>
      <c r="E56" s="32" t="s">
        <v>560</v>
      </c>
    </row>
    <row r="57" spans="1:6" ht="28.95" customHeight="1">
      <c r="A57" s="28" t="s">
        <v>8</v>
      </c>
      <c r="B57" s="29" t="s">
        <v>72</v>
      </c>
      <c r="C57" s="6" t="s">
        <v>560</v>
      </c>
      <c r="D57" s="30" t="s">
        <v>561</v>
      </c>
      <c r="E57" s="31" t="s">
        <v>560</v>
      </c>
    </row>
    <row r="58" spans="1:6" ht="28.95" customHeight="1">
      <c r="A58" s="25" t="s">
        <v>9</v>
      </c>
      <c r="B58" s="26" t="s">
        <v>73</v>
      </c>
      <c r="C58" s="6" t="s">
        <v>560</v>
      </c>
      <c r="D58" s="27" t="s">
        <v>561</v>
      </c>
      <c r="E58" s="32" t="s">
        <v>560</v>
      </c>
    </row>
    <row r="59" spans="1:6" ht="28.95" customHeight="1">
      <c r="A59" s="28" t="s">
        <v>10</v>
      </c>
      <c r="B59" s="29" t="s">
        <v>74</v>
      </c>
      <c r="C59" s="6" t="s">
        <v>560</v>
      </c>
      <c r="D59" s="30" t="s">
        <v>561</v>
      </c>
      <c r="E59" s="31" t="s">
        <v>560</v>
      </c>
    </row>
    <row r="60" spans="1:6" ht="28.95" customHeight="1">
      <c r="A60" s="25" t="s">
        <v>11</v>
      </c>
      <c r="B60" s="26" t="s">
        <v>75</v>
      </c>
      <c r="C60" s="6" t="s">
        <v>560</v>
      </c>
      <c r="D60" s="27" t="s">
        <v>561</v>
      </c>
      <c r="E60" s="32" t="s">
        <v>560</v>
      </c>
    </row>
    <row r="61" spans="1:6" ht="28.95" customHeight="1">
      <c r="A61" s="28" t="s">
        <v>12</v>
      </c>
      <c r="B61" s="29" t="s">
        <v>76</v>
      </c>
      <c r="C61" s="10" t="s">
        <v>562</v>
      </c>
      <c r="D61" s="31" t="s">
        <v>563</v>
      </c>
      <c r="E61" s="30" t="s">
        <v>564</v>
      </c>
    </row>
    <row r="62" spans="1:6" ht="28.95" customHeight="1">
      <c r="A62" s="25" t="s">
        <v>13</v>
      </c>
      <c r="B62" s="26" t="s">
        <v>77</v>
      </c>
      <c r="C62" s="10" t="s">
        <v>562</v>
      </c>
      <c r="D62" s="32" t="s">
        <v>563</v>
      </c>
      <c r="E62" s="27" t="s">
        <v>564</v>
      </c>
    </row>
    <row r="63" spans="1:6" ht="28.95" customHeight="1">
      <c r="A63" s="28" t="s">
        <v>14</v>
      </c>
      <c r="B63" s="29" t="s">
        <v>78</v>
      </c>
      <c r="C63" s="10" t="s">
        <v>562</v>
      </c>
      <c r="D63" s="31" t="s">
        <v>563</v>
      </c>
      <c r="E63" s="30" t="s">
        <v>564</v>
      </c>
    </row>
    <row r="64" spans="1:6" ht="28.95" customHeight="1">
      <c r="A64" s="25" t="s">
        <v>15</v>
      </c>
      <c r="B64" s="26" t="s">
        <v>79</v>
      </c>
      <c r="C64" s="10" t="s">
        <v>562</v>
      </c>
      <c r="D64" s="32" t="s">
        <v>563</v>
      </c>
      <c r="E64" s="27" t="s">
        <v>564</v>
      </c>
    </row>
    <row r="65" spans="1:5" ht="28.95" customHeight="1">
      <c r="A65" s="28" t="s">
        <v>16</v>
      </c>
      <c r="B65" s="29" t="s">
        <v>80</v>
      </c>
      <c r="C65" s="33" t="s">
        <v>565</v>
      </c>
      <c r="D65" s="31" t="s">
        <v>566</v>
      </c>
      <c r="E65" s="30" t="s">
        <v>567</v>
      </c>
    </row>
    <row r="66" spans="1:5" ht="28.95" customHeight="1">
      <c r="A66" s="25" t="s">
        <v>17</v>
      </c>
      <c r="B66" s="26" t="s">
        <v>81</v>
      </c>
      <c r="C66" s="33" t="s">
        <v>565</v>
      </c>
      <c r="D66" s="32" t="s">
        <v>566</v>
      </c>
      <c r="E66" s="27" t="s">
        <v>567</v>
      </c>
    </row>
    <row r="67" spans="1:5" ht="28.95" customHeight="1">
      <c r="A67" s="28" t="s">
        <v>18</v>
      </c>
      <c r="B67" s="29" t="s">
        <v>82</v>
      </c>
      <c r="C67" s="33" t="s">
        <v>565</v>
      </c>
      <c r="D67" s="31" t="s">
        <v>566</v>
      </c>
      <c r="E67" s="30" t="s">
        <v>567</v>
      </c>
    </row>
    <row r="68" spans="1:5" ht="28.95" customHeight="1">
      <c r="A68" s="25" t="s">
        <v>19</v>
      </c>
      <c r="B68" s="26" t="s">
        <v>83</v>
      </c>
      <c r="C68" s="33" t="s">
        <v>565</v>
      </c>
      <c r="D68" s="32" t="s">
        <v>566</v>
      </c>
      <c r="E68" s="27" t="s">
        <v>567</v>
      </c>
    </row>
    <row r="69" spans="1:5" ht="28.95" customHeight="1">
      <c r="A69" s="28" t="s">
        <v>20</v>
      </c>
      <c r="B69" s="29" t="s">
        <v>84</v>
      </c>
      <c r="C69" s="33" t="s">
        <v>565</v>
      </c>
      <c r="D69" s="31" t="s">
        <v>566</v>
      </c>
      <c r="E69" s="30" t="s">
        <v>567</v>
      </c>
    </row>
    <row r="70" spans="1:5" ht="28.95" customHeight="1">
      <c r="A70" s="25" t="s">
        <v>21</v>
      </c>
      <c r="B70" s="26" t="s">
        <v>85</v>
      </c>
      <c r="C70" s="33" t="s">
        <v>565</v>
      </c>
      <c r="D70" s="32" t="s">
        <v>566</v>
      </c>
      <c r="E70" s="27" t="s">
        <v>567</v>
      </c>
    </row>
    <row r="71" spans="1:5" ht="28.95" customHeight="1">
      <c r="A71" s="28" t="s">
        <v>22</v>
      </c>
      <c r="B71" s="29" t="s">
        <v>86</v>
      </c>
      <c r="C71" s="33" t="s">
        <v>565</v>
      </c>
      <c r="D71" s="31" t="s">
        <v>566</v>
      </c>
      <c r="E71" s="30" t="s">
        <v>567</v>
      </c>
    </row>
    <row r="72" spans="1:5" ht="28.95" customHeight="1">
      <c r="A72" s="25" t="s">
        <v>23</v>
      </c>
      <c r="B72" s="26" t="s">
        <v>87</v>
      </c>
      <c r="C72" s="33" t="s">
        <v>565</v>
      </c>
      <c r="D72" s="32" t="s">
        <v>566</v>
      </c>
      <c r="E72" s="27" t="s">
        <v>567</v>
      </c>
    </row>
    <row r="73" spans="1:5" ht="28.95" customHeight="1">
      <c r="A73" s="28" t="s">
        <v>24</v>
      </c>
      <c r="B73" s="28" t="s">
        <v>88</v>
      </c>
      <c r="C73" s="33" t="s">
        <v>565</v>
      </c>
      <c r="D73" s="31" t="s">
        <v>566</v>
      </c>
      <c r="E73" s="30" t="s">
        <v>567</v>
      </c>
    </row>
    <row r="74" spans="1:5" ht="28.95" customHeight="1">
      <c r="A74" s="25" t="s">
        <v>25</v>
      </c>
      <c r="B74" s="26" t="s">
        <v>89</v>
      </c>
      <c r="C74" s="33" t="s">
        <v>565</v>
      </c>
      <c r="D74" s="32" t="s">
        <v>566</v>
      </c>
      <c r="E74" s="27" t="s">
        <v>567</v>
      </c>
    </row>
    <row r="75" spans="1:5" ht="28.95" customHeight="1">
      <c r="A75" s="28" t="s">
        <v>26</v>
      </c>
      <c r="B75" s="29" t="s">
        <v>90</v>
      </c>
      <c r="C75" s="33" t="s">
        <v>565</v>
      </c>
      <c r="D75" s="31" t="s">
        <v>566</v>
      </c>
      <c r="E75" s="30" t="s">
        <v>567</v>
      </c>
    </row>
    <row r="76" spans="1:5" ht="28.95" customHeight="1">
      <c r="A76" s="25" t="s">
        <v>27</v>
      </c>
      <c r="B76" s="26" t="s">
        <v>91</v>
      </c>
      <c r="C76" s="33" t="s">
        <v>565</v>
      </c>
      <c r="D76" s="32" t="s">
        <v>566</v>
      </c>
      <c r="E76" s="27" t="s">
        <v>567</v>
      </c>
    </row>
    <row r="77" spans="1:5" ht="28.95" customHeight="1">
      <c r="A77" s="28" t="s">
        <v>28</v>
      </c>
      <c r="B77" s="29" t="s">
        <v>92</v>
      </c>
      <c r="C77" s="33" t="s">
        <v>565</v>
      </c>
      <c r="D77" s="31" t="s">
        <v>566</v>
      </c>
      <c r="E77" s="30" t="s">
        <v>567</v>
      </c>
    </row>
    <row r="78" spans="1:5" ht="28.95" customHeight="1">
      <c r="A78" s="25" t="s">
        <v>29</v>
      </c>
      <c r="B78" s="26" t="s">
        <v>93</v>
      </c>
      <c r="C78" s="33" t="s">
        <v>565</v>
      </c>
      <c r="D78" s="32" t="s">
        <v>566</v>
      </c>
      <c r="E78" s="27" t="s">
        <v>567</v>
      </c>
    </row>
    <row r="79" spans="1:5" ht="28.95" customHeight="1">
      <c r="A79" s="28" t="s">
        <v>30</v>
      </c>
      <c r="B79" s="29" t="s">
        <v>94</v>
      </c>
      <c r="C79" s="12" t="s">
        <v>568</v>
      </c>
      <c r="D79" s="31" t="s">
        <v>566</v>
      </c>
      <c r="E79" s="30" t="s">
        <v>569</v>
      </c>
    </row>
    <row r="80" spans="1:5" ht="28.95" customHeight="1">
      <c r="A80" s="25" t="s">
        <v>31</v>
      </c>
      <c r="B80" s="26" t="s">
        <v>95</v>
      </c>
      <c r="C80" s="12" t="s">
        <v>568</v>
      </c>
      <c r="D80" s="32" t="s">
        <v>566</v>
      </c>
      <c r="E80" s="27" t="s">
        <v>569</v>
      </c>
    </row>
    <row r="81" spans="1:5" ht="28.95" customHeight="1">
      <c r="A81" s="28" t="s">
        <v>32</v>
      </c>
      <c r="B81" s="29" t="s">
        <v>96</v>
      </c>
      <c r="C81" s="12" t="s">
        <v>568</v>
      </c>
      <c r="D81" s="31" t="s">
        <v>566</v>
      </c>
      <c r="E81" s="30" t="s">
        <v>569</v>
      </c>
    </row>
    <row r="82" spans="1:5" ht="28.95" customHeight="1">
      <c r="A82" s="25" t="s">
        <v>33</v>
      </c>
      <c r="B82" s="26" t="s">
        <v>97</v>
      </c>
      <c r="C82" s="12" t="s">
        <v>568</v>
      </c>
      <c r="D82" s="32" t="s">
        <v>566</v>
      </c>
      <c r="E82" s="27" t="s">
        <v>569</v>
      </c>
    </row>
    <row r="83" spans="1:5" ht="28.95" customHeight="1">
      <c r="A83" s="28" t="s">
        <v>34</v>
      </c>
      <c r="B83" s="29" t="s">
        <v>98</v>
      </c>
      <c r="C83" s="12" t="s">
        <v>568</v>
      </c>
      <c r="D83" s="31" t="s">
        <v>566</v>
      </c>
      <c r="E83" s="30" t="s">
        <v>569</v>
      </c>
    </row>
    <row r="84" spans="1:5" ht="28.95" customHeight="1">
      <c r="A84" s="25" t="s">
        <v>35</v>
      </c>
      <c r="B84" s="26" t="s">
        <v>99</v>
      </c>
      <c r="C84" s="12" t="s">
        <v>568</v>
      </c>
      <c r="D84" s="32" t="s">
        <v>566</v>
      </c>
      <c r="E84" s="27" t="s">
        <v>569</v>
      </c>
    </row>
    <row r="85" spans="1:5" ht="28.95" customHeight="1">
      <c r="A85" s="28" t="s">
        <v>36</v>
      </c>
      <c r="B85" s="29" t="s">
        <v>100</v>
      </c>
      <c r="C85" s="12" t="s">
        <v>568</v>
      </c>
      <c r="D85" s="31" t="s">
        <v>566</v>
      </c>
      <c r="E85" s="30" t="s">
        <v>569</v>
      </c>
    </row>
    <row r="86" spans="1:5" ht="28.95" customHeight="1">
      <c r="A86" s="25" t="s">
        <v>37</v>
      </c>
      <c r="B86" s="26" t="s">
        <v>101</v>
      </c>
      <c r="C86" s="13" t="s">
        <v>570</v>
      </c>
      <c r="D86" s="32" t="s">
        <v>566</v>
      </c>
      <c r="E86" s="27" t="s">
        <v>569</v>
      </c>
    </row>
    <row r="87" spans="1:5" ht="28.95" customHeight="1">
      <c r="A87" s="28" t="s">
        <v>38</v>
      </c>
      <c r="B87" s="29" t="s">
        <v>102</v>
      </c>
      <c r="C87" s="13" t="s">
        <v>570</v>
      </c>
      <c r="D87" s="31" t="s">
        <v>566</v>
      </c>
      <c r="E87" s="30" t="s">
        <v>569</v>
      </c>
    </row>
    <row r="88" spans="1:5" ht="28.95" customHeight="1">
      <c r="A88" s="25" t="s">
        <v>39</v>
      </c>
      <c r="B88" s="26" t="s">
        <v>103</v>
      </c>
      <c r="C88" s="13" t="s">
        <v>570</v>
      </c>
      <c r="D88" s="32" t="s">
        <v>566</v>
      </c>
      <c r="E88" s="27" t="s">
        <v>569</v>
      </c>
    </row>
    <row r="89" spans="1:5" ht="28.95" customHeight="1">
      <c r="A89" s="28" t="s">
        <v>40</v>
      </c>
      <c r="B89" s="29" t="s">
        <v>104</v>
      </c>
      <c r="C89" s="13" t="s">
        <v>570</v>
      </c>
      <c r="D89" s="31" t="s">
        <v>566</v>
      </c>
      <c r="E89" s="30" t="s">
        <v>569</v>
      </c>
    </row>
    <row r="90" spans="1:5" ht="28.95" customHeight="1">
      <c r="A90" s="25" t="s">
        <v>41</v>
      </c>
      <c r="B90" s="26" t="s">
        <v>105</v>
      </c>
      <c r="C90" s="13" t="s">
        <v>570</v>
      </c>
      <c r="D90" s="32" t="s">
        <v>566</v>
      </c>
      <c r="E90" s="27" t="s">
        <v>569</v>
      </c>
    </row>
    <row r="91" spans="1:5" ht="28.95" customHeight="1">
      <c r="A91" s="28" t="s">
        <v>42</v>
      </c>
      <c r="B91" s="29" t="s">
        <v>106</v>
      </c>
      <c r="C91" s="13" t="s">
        <v>570</v>
      </c>
      <c r="D91" s="31" t="s">
        <v>566</v>
      </c>
      <c r="E91" s="30" t="s">
        <v>569</v>
      </c>
    </row>
    <row r="92" spans="1:5" ht="28.95" customHeight="1">
      <c r="A92" s="25" t="s">
        <v>43</v>
      </c>
      <c r="B92" s="26" t="s">
        <v>107</v>
      </c>
      <c r="C92" s="13" t="s">
        <v>570</v>
      </c>
      <c r="D92" s="32" t="s">
        <v>566</v>
      </c>
      <c r="E92" s="27" t="s">
        <v>569</v>
      </c>
    </row>
    <row r="93" spans="1:5" ht="28.95" customHeight="1">
      <c r="A93" s="28" t="s">
        <v>44</v>
      </c>
      <c r="B93" s="29" t="s">
        <v>108</v>
      </c>
      <c r="C93" s="13" t="s">
        <v>570</v>
      </c>
      <c r="D93" s="31" t="s">
        <v>566</v>
      </c>
      <c r="E93" s="30" t="s">
        <v>569</v>
      </c>
    </row>
    <row r="94" spans="1:5" ht="28.95" customHeight="1">
      <c r="A94" s="25" t="s">
        <v>45</v>
      </c>
      <c r="B94" s="26" t="s">
        <v>109</v>
      </c>
      <c r="C94" s="14" t="s">
        <v>571</v>
      </c>
      <c r="D94" s="32" t="s">
        <v>566</v>
      </c>
      <c r="E94" s="27" t="s">
        <v>572</v>
      </c>
    </row>
    <row r="95" spans="1:5" ht="28.95" customHeight="1">
      <c r="A95" s="28" t="s">
        <v>46</v>
      </c>
      <c r="B95" s="29" t="s">
        <v>110</v>
      </c>
      <c r="C95" s="14" t="s">
        <v>571</v>
      </c>
      <c r="D95" s="31" t="s">
        <v>566</v>
      </c>
      <c r="E95" s="30" t="s">
        <v>572</v>
      </c>
    </row>
    <row r="96" spans="1:5" ht="28.95" customHeight="1">
      <c r="A96" s="25" t="s">
        <v>47</v>
      </c>
      <c r="B96" s="26" t="s">
        <v>111</v>
      </c>
      <c r="C96" s="14" t="s">
        <v>571</v>
      </c>
      <c r="D96" s="32" t="s">
        <v>566</v>
      </c>
      <c r="E96" s="27" t="s">
        <v>572</v>
      </c>
    </row>
    <row r="97" spans="1:5" ht="28.95" customHeight="1">
      <c r="A97" s="28" t="s">
        <v>48</v>
      </c>
      <c r="B97" s="29" t="s">
        <v>112</v>
      </c>
      <c r="C97" s="14" t="s">
        <v>571</v>
      </c>
      <c r="D97" s="31" t="s">
        <v>566</v>
      </c>
      <c r="E97" s="30" t="s">
        <v>572</v>
      </c>
    </row>
    <row r="98" spans="1:5" ht="28.95" customHeight="1">
      <c r="A98" s="25" t="s">
        <v>49</v>
      </c>
      <c r="B98" s="26" t="s">
        <v>113</v>
      </c>
      <c r="C98" s="14" t="s">
        <v>571</v>
      </c>
      <c r="D98" s="32" t="s">
        <v>566</v>
      </c>
      <c r="E98" s="27" t="s">
        <v>572</v>
      </c>
    </row>
    <row r="99" spans="1:5" ht="28.95" customHeight="1">
      <c r="A99" s="28" t="s">
        <v>50</v>
      </c>
      <c r="B99" s="28" t="s">
        <v>114</v>
      </c>
      <c r="C99" s="14" t="s">
        <v>571</v>
      </c>
      <c r="D99" s="31" t="s">
        <v>566</v>
      </c>
      <c r="E99" s="30" t="s">
        <v>572</v>
      </c>
    </row>
    <row r="100" spans="1:5" ht="28.95" customHeight="1">
      <c r="A100" s="25" t="s">
        <v>51</v>
      </c>
      <c r="B100" s="26" t="s">
        <v>115</v>
      </c>
      <c r="C100" s="14" t="s">
        <v>571</v>
      </c>
      <c r="D100" s="32" t="s">
        <v>566</v>
      </c>
      <c r="E100" s="27" t="s">
        <v>572</v>
      </c>
    </row>
    <row r="101" spans="1:5" ht="28.95" customHeight="1">
      <c r="A101" s="28" t="s">
        <v>52</v>
      </c>
      <c r="B101" s="29" t="s">
        <v>116</v>
      </c>
      <c r="C101" s="14" t="s">
        <v>571</v>
      </c>
      <c r="D101" s="31" t="s">
        <v>566</v>
      </c>
      <c r="E101" s="30" t="s">
        <v>572</v>
      </c>
    </row>
    <row r="102" spans="1:5" ht="28.95" customHeight="1">
      <c r="A102" s="25" t="s">
        <v>53</v>
      </c>
      <c r="B102" s="26" t="s">
        <v>117</v>
      </c>
      <c r="C102" s="14" t="s">
        <v>571</v>
      </c>
      <c r="D102" s="32" t="s">
        <v>566</v>
      </c>
      <c r="E102" s="27" t="s">
        <v>572</v>
      </c>
    </row>
    <row r="103" spans="1:5" ht="28.95" customHeight="1">
      <c r="A103" s="28" t="s">
        <v>54</v>
      </c>
      <c r="B103" s="28" t="s">
        <v>118</v>
      </c>
      <c r="C103" s="14" t="s">
        <v>571</v>
      </c>
      <c r="D103" s="31" t="s">
        <v>566</v>
      </c>
      <c r="E103" s="30" t="s">
        <v>572</v>
      </c>
    </row>
    <row r="104" spans="1:5" ht="28.95" customHeight="1">
      <c r="A104" s="25" t="s">
        <v>55</v>
      </c>
      <c r="B104" s="26" t="s">
        <v>119</v>
      </c>
      <c r="C104" s="14" t="s">
        <v>571</v>
      </c>
      <c r="D104" s="32" t="s">
        <v>566</v>
      </c>
      <c r="E104" s="27" t="s">
        <v>572</v>
      </c>
    </row>
    <row r="105" spans="1:5" ht="28.95" customHeight="1">
      <c r="A105" s="28" t="s">
        <v>56</v>
      </c>
      <c r="B105" s="29" t="s">
        <v>120</v>
      </c>
      <c r="C105" s="14" t="s">
        <v>571</v>
      </c>
      <c r="D105" s="31" t="s">
        <v>566</v>
      </c>
      <c r="E105" s="30" t="s">
        <v>572</v>
      </c>
    </row>
    <row r="106" spans="1:5" ht="28.95" customHeight="1">
      <c r="A106" s="25" t="s">
        <v>57</v>
      </c>
      <c r="B106" s="26" t="s">
        <v>121</v>
      </c>
      <c r="C106" s="14" t="s">
        <v>571</v>
      </c>
      <c r="D106" s="32" t="s">
        <v>566</v>
      </c>
      <c r="E106" s="27" t="s">
        <v>572</v>
      </c>
    </row>
    <row r="107" spans="1:5" ht="28.95" customHeight="1">
      <c r="A107" s="28" t="s">
        <v>58</v>
      </c>
      <c r="B107" s="29" t="s">
        <v>122</v>
      </c>
      <c r="C107" s="14" t="s">
        <v>571</v>
      </c>
      <c r="D107" s="31" t="s">
        <v>566</v>
      </c>
      <c r="E107" s="30" t="s">
        <v>572</v>
      </c>
    </row>
    <row r="108" spans="1:5" ht="28.95" customHeight="1">
      <c r="A108" s="25" t="s">
        <v>59</v>
      </c>
      <c r="B108" s="26" t="s">
        <v>123</v>
      </c>
      <c r="C108" s="14" t="s">
        <v>571</v>
      </c>
      <c r="D108" s="32" t="s">
        <v>566</v>
      </c>
      <c r="E108" s="27" t="s">
        <v>572</v>
      </c>
    </row>
    <row r="109" spans="1:5" ht="28.95" customHeight="1">
      <c r="A109" s="28" t="s">
        <v>60</v>
      </c>
      <c r="B109" s="29" t="s">
        <v>124</v>
      </c>
      <c r="C109" s="14" t="s">
        <v>571</v>
      </c>
      <c r="D109" s="31" t="s">
        <v>566</v>
      </c>
      <c r="E109" s="30" t="s">
        <v>572</v>
      </c>
    </row>
    <row r="110" spans="1:5" ht="28.95" customHeight="1">
      <c r="A110" s="25" t="s">
        <v>61</v>
      </c>
      <c r="B110" s="26" t="s">
        <v>125</v>
      </c>
      <c r="C110" s="14" t="s">
        <v>571</v>
      </c>
      <c r="D110" s="32" t="s">
        <v>566</v>
      </c>
      <c r="E110" s="27" t="s">
        <v>572</v>
      </c>
    </row>
    <row r="111" spans="1:5" ht="28.95" customHeight="1">
      <c r="A111" s="28" t="s">
        <v>62</v>
      </c>
      <c r="B111" s="29" t="s">
        <v>126</v>
      </c>
      <c r="C111" s="14" t="s">
        <v>571</v>
      </c>
      <c r="D111" s="31" t="s">
        <v>566</v>
      </c>
      <c r="E111" s="30" t="s">
        <v>572</v>
      </c>
    </row>
    <row r="112" spans="1:5" ht="28.95" customHeight="1">
      <c r="A112" s="25" t="s">
        <v>63</v>
      </c>
      <c r="B112" s="26" t="s">
        <v>127</v>
      </c>
      <c r="C112" s="14" t="s">
        <v>571</v>
      </c>
      <c r="D112" s="32" t="s">
        <v>566</v>
      </c>
      <c r="E112" s="27" t="s">
        <v>572</v>
      </c>
    </row>
    <row r="113" spans="1:5" ht="28.95" customHeight="1">
      <c r="A113" s="28" t="s">
        <v>64</v>
      </c>
      <c r="B113" s="29" t="s">
        <v>128</v>
      </c>
      <c r="C113" s="14" t="s">
        <v>571</v>
      </c>
      <c r="D113" s="31" t="s">
        <v>566</v>
      </c>
      <c r="E113" s="30" t="s">
        <v>572</v>
      </c>
    </row>
    <row r="114" spans="1:5" ht="28.95" customHeight="1">
      <c r="A114" s="25" t="s">
        <v>65</v>
      </c>
      <c r="B114" s="26" t="s">
        <v>129</v>
      </c>
      <c r="C114" s="14" t="s">
        <v>571</v>
      </c>
      <c r="D114" s="32" t="s">
        <v>566</v>
      </c>
      <c r="E114" s="27" t="s">
        <v>572</v>
      </c>
    </row>
    <row r="115" spans="1:5" ht="28.95" customHeight="1">
      <c r="A115" s="28" t="s">
        <v>66</v>
      </c>
      <c r="B115" s="29" t="s">
        <v>130</v>
      </c>
      <c r="C115" s="14" t="s">
        <v>571</v>
      </c>
      <c r="D115" s="31" t="s">
        <v>566</v>
      </c>
      <c r="E115" s="30" t="s">
        <v>572</v>
      </c>
    </row>
    <row r="116" spans="1:5" ht="28.95" customHeight="1">
      <c r="A116" s="25" t="s">
        <v>67</v>
      </c>
      <c r="B116" s="26" t="s">
        <v>131</v>
      </c>
      <c r="C116" s="14" t="s">
        <v>571</v>
      </c>
      <c r="D116" s="32" t="s">
        <v>566</v>
      </c>
      <c r="E116" s="27" t="s">
        <v>572</v>
      </c>
    </row>
    <row r="117" spans="1:5" ht="28.95" customHeight="1">
      <c r="A117" s="28" t="s">
        <v>68</v>
      </c>
      <c r="B117" s="29" t="s">
        <v>132</v>
      </c>
      <c r="C117" s="14" t="s">
        <v>571</v>
      </c>
      <c r="D117" s="31" t="s">
        <v>566</v>
      </c>
      <c r="E117" s="30" t="s">
        <v>572</v>
      </c>
    </row>
    <row r="118" spans="1:5" ht="28.95" customHeight="1">
      <c r="A118" s="25" t="s">
        <v>69</v>
      </c>
      <c r="B118" s="26" t="s">
        <v>133</v>
      </c>
      <c r="C118" s="14" t="s">
        <v>571</v>
      </c>
      <c r="D118" s="32" t="s">
        <v>566</v>
      </c>
      <c r="E118" s="27" t="s">
        <v>572</v>
      </c>
    </row>
    <row r="119" spans="1:5" ht="28.95" customHeight="1">
      <c r="A119" s="28" t="s">
        <v>70</v>
      </c>
      <c r="B119" s="29" t="s">
        <v>134</v>
      </c>
      <c r="C119" s="14" t="s">
        <v>571</v>
      </c>
      <c r="D119" s="31" t="s">
        <v>566</v>
      </c>
      <c r="E119" s="30" t="s">
        <v>572</v>
      </c>
    </row>
  </sheetData>
  <mergeCells count="37">
    <mergeCell ref="A54:F54"/>
    <mergeCell ref="E12:F12"/>
    <mergeCell ref="A46:F46"/>
    <mergeCell ref="E24:F24"/>
    <mergeCell ref="E33:F33"/>
    <mergeCell ref="A37:F37"/>
    <mergeCell ref="A27:F27"/>
    <mergeCell ref="E23:F23"/>
    <mergeCell ref="A50:F50"/>
    <mergeCell ref="E14:F14"/>
    <mergeCell ref="E17:F17"/>
    <mergeCell ref="A49:F49"/>
    <mergeCell ref="A51:F51"/>
    <mergeCell ref="E32:F32"/>
    <mergeCell ref="A36:F36"/>
    <mergeCell ref="A47:F47"/>
    <mergeCell ref="A42:F42"/>
    <mergeCell ref="E29:F29"/>
    <mergeCell ref="E13:F13"/>
    <mergeCell ref="A4:F4"/>
    <mergeCell ref="E31:F31"/>
    <mergeCell ref="A43:F43"/>
    <mergeCell ref="E34:F34"/>
    <mergeCell ref="A38:F38"/>
    <mergeCell ref="A10:F10"/>
    <mergeCell ref="E30:F30"/>
    <mergeCell ref="E15:F15"/>
    <mergeCell ref="A19:F19"/>
    <mergeCell ref="A39:F39"/>
    <mergeCell ref="E16:F16"/>
    <mergeCell ref="A41:F41"/>
    <mergeCell ref="E25:F25"/>
    <mergeCell ref="A1:F1"/>
    <mergeCell ref="A45:F45"/>
    <mergeCell ref="E22:F22"/>
    <mergeCell ref="E21:F21"/>
    <mergeCell ref="A2:F2"/>
  </mergeCells>
  <phoneticPr fontId="4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topLeftCell="A42" workbookViewId="0">
      <selection sqref="A1:J1"/>
    </sheetView>
  </sheetViews>
  <sheetFormatPr baseColWidth="10" defaultColWidth="8.77734375" defaultRowHeight="14.4"/>
  <cols>
    <col min="1" max="1" width="8" customWidth="1"/>
    <col min="2" max="2" width="12" customWidth="1"/>
    <col min="3" max="3" width="18" customWidth="1"/>
    <col min="4" max="4" width="11" customWidth="1"/>
    <col min="5" max="5" width="45" customWidth="1"/>
    <col min="6" max="6" width="52" customWidth="1"/>
    <col min="7" max="7" width="42" customWidth="1"/>
    <col min="8" max="8" width="52" customWidth="1"/>
    <col min="9" max="9" width="12" customWidth="1"/>
    <col min="10" max="10" width="38" customWidth="1"/>
  </cols>
  <sheetData>
    <row r="1" spans="1:10" ht="25.2" customHeight="1">
      <c r="A1" s="73" t="s">
        <v>573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72" customHeight="1">
      <c r="A2" s="48" t="s">
        <v>574</v>
      </c>
      <c r="B2" s="74" t="s">
        <v>575</v>
      </c>
      <c r="C2" s="60"/>
      <c r="D2" s="60"/>
      <c r="E2" s="60"/>
      <c r="F2" s="60"/>
      <c r="G2" s="60"/>
      <c r="H2" s="60"/>
      <c r="I2" s="60"/>
      <c r="J2" s="60"/>
    </row>
    <row r="3" spans="1:10" ht="55.95" customHeight="1">
      <c r="A3" s="48" t="s">
        <v>576</v>
      </c>
      <c r="B3" s="74" t="s">
        <v>577</v>
      </c>
      <c r="C3" s="60"/>
      <c r="D3" s="60"/>
      <c r="E3" s="60"/>
      <c r="F3" s="60"/>
      <c r="G3" s="60"/>
      <c r="H3" s="60"/>
      <c r="I3" s="60"/>
      <c r="J3" s="60"/>
    </row>
    <row r="5" spans="1:10" ht="21.3" customHeight="1">
      <c r="A5" s="49" t="s">
        <v>578</v>
      </c>
      <c r="B5" s="49" t="s">
        <v>9</v>
      </c>
      <c r="C5" s="49" t="s">
        <v>10</v>
      </c>
      <c r="D5" s="49" t="s">
        <v>579</v>
      </c>
      <c r="E5" s="49" t="s">
        <v>580</v>
      </c>
      <c r="F5" s="49" t="s">
        <v>581</v>
      </c>
      <c r="G5" s="49" t="s">
        <v>582</v>
      </c>
      <c r="H5" s="49" t="s">
        <v>583</v>
      </c>
      <c r="I5" s="49" t="s">
        <v>584</v>
      </c>
      <c r="J5" s="49" t="s">
        <v>585</v>
      </c>
    </row>
    <row r="6" spans="1:10" ht="213.3" customHeight="1">
      <c r="A6" s="50">
        <v>5</v>
      </c>
      <c r="B6" s="51" t="s">
        <v>136</v>
      </c>
      <c r="C6" s="51" t="s">
        <v>142</v>
      </c>
      <c r="D6" s="50">
        <v>26</v>
      </c>
      <c r="E6" s="51" t="s">
        <v>586</v>
      </c>
      <c r="F6" s="51" t="s">
        <v>587</v>
      </c>
      <c r="G6" s="51" t="s">
        <v>588</v>
      </c>
      <c r="H6" s="51" t="s">
        <v>589</v>
      </c>
      <c r="I6" s="51" t="s">
        <v>590</v>
      </c>
      <c r="J6" s="51" t="s">
        <v>591</v>
      </c>
    </row>
    <row r="7" spans="1:10" ht="213.3" customHeight="1">
      <c r="A7" s="50">
        <v>6</v>
      </c>
      <c r="B7" s="51" t="s">
        <v>136</v>
      </c>
      <c r="C7" s="51" t="s">
        <v>156</v>
      </c>
      <c r="D7" s="50">
        <v>26</v>
      </c>
      <c r="E7" s="51" t="s">
        <v>586</v>
      </c>
      <c r="F7" s="51" t="s">
        <v>592</v>
      </c>
      <c r="G7" s="51" t="s">
        <v>593</v>
      </c>
      <c r="H7" s="51" t="s">
        <v>594</v>
      </c>
      <c r="I7" s="51" t="s">
        <v>590</v>
      </c>
      <c r="J7" s="51" t="s">
        <v>591</v>
      </c>
    </row>
    <row r="8" spans="1:10" ht="42.75" customHeight="1">
      <c r="A8" s="50">
        <v>8</v>
      </c>
      <c r="B8" s="51" t="s">
        <v>165</v>
      </c>
      <c r="C8" s="51" t="s">
        <v>175</v>
      </c>
      <c r="D8" s="50">
        <v>3</v>
      </c>
      <c r="E8" s="51" t="s">
        <v>595</v>
      </c>
      <c r="F8" s="51" t="s">
        <v>596</v>
      </c>
      <c r="G8" s="51" t="s">
        <v>597</v>
      </c>
      <c r="H8" s="51" t="s">
        <v>598</v>
      </c>
      <c r="I8" s="51" t="s">
        <v>599</v>
      </c>
      <c r="J8" s="51" t="s">
        <v>595</v>
      </c>
    </row>
    <row r="9" spans="1:10" ht="213.3" customHeight="1">
      <c r="A9" s="50">
        <v>9</v>
      </c>
      <c r="B9" s="51" t="s">
        <v>165</v>
      </c>
      <c r="C9" s="51" t="s">
        <v>182</v>
      </c>
      <c r="D9" s="50">
        <v>26</v>
      </c>
      <c r="E9" s="51" t="s">
        <v>586</v>
      </c>
      <c r="F9" s="51" t="s">
        <v>600</v>
      </c>
      <c r="G9" s="51" t="s">
        <v>601</v>
      </c>
      <c r="H9" s="51" t="s">
        <v>602</v>
      </c>
      <c r="I9" s="51" t="s">
        <v>590</v>
      </c>
      <c r="J9" s="51" t="s">
        <v>591</v>
      </c>
    </row>
    <row r="10" spans="1:10" ht="213.3" customHeight="1">
      <c r="A10" s="50">
        <v>10</v>
      </c>
      <c r="B10" s="51" t="s">
        <v>165</v>
      </c>
      <c r="C10" s="51" t="s">
        <v>190</v>
      </c>
      <c r="D10" s="50">
        <v>26</v>
      </c>
      <c r="E10" s="51" t="s">
        <v>586</v>
      </c>
      <c r="F10" s="51" t="s">
        <v>603</v>
      </c>
      <c r="G10" s="51" t="s">
        <v>604</v>
      </c>
      <c r="H10" s="51" t="s">
        <v>605</v>
      </c>
      <c r="I10" s="51" t="s">
        <v>590</v>
      </c>
      <c r="J10" s="51" t="s">
        <v>591</v>
      </c>
    </row>
    <row r="11" spans="1:10" ht="213.3" customHeight="1">
      <c r="A11" s="50">
        <v>11</v>
      </c>
      <c r="B11" s="51" t="s">
        <v>165</v>
      </c>
      <c r="C11" s="51" t="s">
        <v>606</v>
      </c>
      <c r="D11" s="50">
        <v>26</v>
      </c>
      <c r="E11" s="51" t="s">
        <v>586</v>
      </c>
      <c r="F11" s="51" t="s">
        <v>607</v>
      </c>
      <c r="G11" s="51" t="s">
        <v>608</v>
      </c>
      <c r="H11" s="51" t="s">
        <v>609</v>
      </c>
      <c r="I11" s="51" t="s">
        <v>599</v>
      </c>
      <c r="J11" s="51" t="s">
        <v>591</v>
      </c>
    </row>
    <row r="12" spans="1:10" ht="42.75" customHeight="1">
      <c r="A12" s="50">
        <v>12</v>
      </c>
      <c r="B12" s="51" t="s">
        <v>197</v>
      </c>
      <c r="C12" s="51" t="s">
        <v>198</v>
      </c>
      <c r="D12" s="50">
        <v>3</v>
      </c>
      <c r="E12" s="51" t="s">
        <v>595</v>
      </c>
      <c r="F12" s="51" t="s">
        <v>610</v>
      </c>
      <c r="G12" s="51" t="s">
        <v>611</v>
      </c>
      <c r="H12" s="51" t="s">
        <v>612</v>
      </c>
      <c r="I12" s="51" t="s">
        <v>599</v>
      </c>
      <c r="J12" s="51" t="s">
        <v>595</v>
      </c>
    </row>
    <row r="13" spans="1:10" ht="42.75" customHeight="1">
      <c r="A13" s="50">
        <v>13</v>
      </c>
      <c r="B13" s="51" t="s">
        <v>197</v>
      </c>
      <c r="C13" s="51" t="s">
        <v>211</v>
      </c>
      <c r="D13" s="50">
        <v>3</v>
      </c>
      <c r="E13" s="51" t="s">
        <v>595</v>
      </c>
      <c r="F13" s="51" t="s">
        <v>613</v>
      </c>
      <c r="G13" s="51" t="s">
        <v>614</v>
      </c>
      <c r="H13" s="51" t="s">
        <v>612</v>
      </c>
      <c r="I13" s="51" t="s">
        <v>599</v>
      </c>
      <c r="J13" s="51" t="s">
        <v>595</v>
      </c>
    </row>
    <row r="14" spans="1:10" ht="213.3" customHeight="1">
      <c r="A14" s="50">
        <v>14</v>
      </c>
      <c r="B14" s="51" t="s">
        <v>197</v>
      </c>
      <c r="C14" s="51" t="s">
        <v>216</v>
      </c>
      <c r="D14" s="50">
        <v>26</v>
      </c>
      <c r="E14" s="51" t="s">
        <v>586</v>
      </c>
      <c r="F14" s="51" t="s">
        <v>615</v>
      </c>
      <c r="G14" s="51" t="s">
        <v>616</v>
      </c>
      <c r="H14" s="51" t="s">
        <v>617</v>
      </c>
      <c r="I14" s="51" t="s">
        <v>590</v>
      </c>
      <c r="J14" s="51" t="s">
        <v>591</v>
      </c>
    </row>
    <row r="15" spans="1:10" ht="213.3" customHeight="1">
      <c r="A15" s="50">
        <v>15</v>
      </c>
      <c r="B15" s="51" t="s">
        <v>197</v>
      </c>
      <c r="C15" s="51" t="s">
        <v>618</v>
      </c>
      <c r="D15" s="50">
        <v>26</v>
      </c>
      <c r="E15" s="51" t="s">
        <v>586</v>
      </c>
      <c r="F15" s="51" t="s">
        <v>619</v>
      </c>
      <c r="G15" s="51" t="s">
        <v>620</v>
      </c>
      <c r="H15" s="51" t="s">
        <v>621</v>
      </c>
      <c r="I15" s="51" t="s">
        <v>599</v>
      </c>
      <c r="J15" s="51" t="s">
        <v>591</v>
      </c>
    </row>
    <row r="16" spans="1:10" ht="42.75" customHeight="1">
      <c r="A16" s="50">
        <v>16</v>
      </c>
      <c r="B16" s="51" t="s">
        <v>223</v>
      </c>
      <c r="C16" s="51" t="s">
        <v>224</v>
      </c>
      <c r="D16" s="50">
        <v>1</v>
      </c>
      <c r="E16" s="51" t="s">
        <v>120</v>
      </c>
      <c r="F16" s="51" t="s">
        <v>622</v>
      </c>
      <c r="G16" s="51" t="s">
        <v>623</v>
      </c>
      <c r="H16" s="51" t="s">
        <v>624</v>
      </c>
      <c r="I16" s="51" t="s">
        <v>599</v>
      </c>
      <c r="J16" s="51" t="s">
        <v>120</v>
      </c>
    </row>
    <row r="17" spans="1:10" ht="42.75" customHeight="1">
      <c r="A17" s="50">
        <v>17</v>
      </c>
      <c r="B17" s="51" t="s">
        <v>223</v>
      </c>
      <c r="C17" s="51" t="s">
        <v>232</v>
      </c>
      <c r="D17" s="50">
        <v>2</v>
      </c>
      <c r="E17" s="51" t="s">
        <v>625</v>
      </c>
      <c r="F17" s="51" t="s">
        <v>626</v>
      </c>
      <c r="G17" s="51" t="s">
        <v>627</v>
      </c>
      <c r="H17" s="51" t="s">
        <v>628</v>
      </c>
      <c r="I17" s="51" t="s">
        <v>599</v>
      </c>
      <c r="J17" s="51" t="s">
        <v>625</v>
      </c>
    </row>
    <row r="18" spans="1:10" ht="21.3" customHeight="1">
      <c r="A18" s="50">
        <v>18</v>
      </c>
      <c r="B18" s="51" t="s">
        <v>223</v>
      </c>
      <c r="C18" s="51" t="s">
        <v>236</v>
      </c>
      <c r="D18" s="50">
        <v>1</v>
      </c>
      <c r="E18" s="51" t="s">
        <v>120</v>
      </c>
      <c r="F18" s="51" t="s">
        <v>629</v>
      </c>
      <c r="G18" s="51" t="s">
        <v>630</v>
      </c>
      <c r="H18" s="51" t="s">
        <v>631</v>
      </c>
      <c r="I18" s="51" t="s">
        <v>599</v>
      </c>
      <c r="J18" s="51" t="s">
        <v>120</v>
      </c>
    </row>
    <row r="19" spans="1:10" ht="21.3" customHeight="1">
      <c r="A19" s="50">
        <v>19</v>
      </c>
      <c r="B19" s="51" t="s">
        <v>223</v>
      </c>
      <c r="C19" s="51" t="s">
        <v>242</v>
      </c>
      <c r="D19" s="50">
        <v>1</v>
      </c>
      <c r="E19" s="51" t="s">
        <v>120</v>
      </c>
      <c r="F19" s="51" t="s">
        <v>632</v>
      </c>
      <c r="G19" s="51" t="s">
        <v>633</v>
      </c>
      <c r="H19" s="51" t="s">
        <v>631</v>
      </c>
      <c r="I19" s="51" t="s">
        <v>599</v>
      </c>
      <c r="J19" s="51" t="s">
        <v>120</v>
      </c>
    </row>
    <row r="20" spans="1:10" ht="42.75" customHeight="1">
      <c r="A20" s="50">
        <v>20</v>
      </c>
      <c r="B20" s="51" t="s">
        <v>259</v>
      </c>
      <c r="C20" s="51" t="s">
        <v>260</v>
      </c>
      <c r="D20" s="50">
        <v>4</v>
      </c>
      <c r="E20" s="51" t="s">
        <v>591</v>
      </c>
      <c r="F20" s="51" t="s">
        <v>634</v>
      </c>
      <c r="G20" s="51" t="s">
        <v>635</v>
      </c>
      <c r="H20" s="51" t="s">
        <v>636</v>
      </c>
      <c r="I20" s="51" t="s">
        <v>599</v>
      </c>
      <c r="J20" s="51" t="s">
        <v>591</v>
      </c>
    </row>
    <row r="21" spans="1:10" ht="42.75" customHeight="1">
      <c r="A21" s="50">
        <v>21</v>
      </c>
      <c r="B21" s="51" t="s">
        <v>259</v>
      </c>
      <c r="C21" s="51" t="s">
        <v>268</v>
      </c>
      <c r="D21" s="50">
        <v>2</v>
      </c>
      <c r="E21" s="51" t="s">
        <v>637</v>
      </c>
      <c r="F21" s="51" t="s">
        <v>638</v>
      </c>
      <c r="G21" s="51" t="s">
        <v>639</v>
      </c>
      <c r="H21" s="51" t="s">
        <v>640</v>
      </c>
      <c r="I21" s="51" t="s">
        <v>599</v>
      </c>
      <c r="J21" s="51" t="s">
        <v>637</v>
      </c>
    </row>
    <row r="22" spans="1:10" ht="42.75" customHeight="1">
      <c r="A22" s="50">
        <v>22</v>
      </c>
      <c r="B22" s="51" t="s">
        <v>259</v>
      </c>
      <c r="C22" s="51" t="s">
        <v>641</v>
      </c>
      <c r="D22" s="50">
        <v>4</v>
      </c>
      <c r="E22" s="51" t="s">
        <v>642</v>
      </c>
      <c r="F22" s="51" t="s">
        <v>643</v>
      </c>
      <c r="G22" s="51" t="s">
        <v>644</v>
      </c>
      <c r="H22" s="51" t="s">
        <v>645</v>
      </c>
      <c r="I22" s="51" t="s">
        <v>599</v>
      </c>
      <c r="J22" s="51" t="s">
        <v>646</v>
      </c>
    </row>
    <row r="23" spans="1:10" ht="213.3" customHeight="1">
      <c r="A23" s="50">
        <v>23</v>
      </c>
      <c r="B23" s="51" t="s">
        <v>283</v>
      </c>
      <c r="C23" s="51" t="s">
        <v>289</v>
      </c>
      <c r="D23" s="50">
        <v>26</v>
      </c>
      <c r="E23" s="51" t="s">
        <v>586</v>
      </c>
      <c r="F23" s="51" t="s">
        <v>647</v>
      </c>
      <c r="G23" s="51" t="s">
        <v>648</v>
      </c>
      <c r="H23" s="51" t="s">
        <v>649</v>
      </c>
      <c r="I23" s="51" t="s">
        <v>590</v>
      </c>
      <c r="J23" s="51" t="s">
        <v>591</v>
      </c>
    </row>
    <row r="24" spans="1:10" ht="213.3" customHeight="1">
      <c r="A24" s="50">
        <v>24</v>
      </c>
      <c r="B24" s="51" t="s">
        <v>283</v>
      </c>
      <c r="C24" s="51" t="s">
        <v>295</v>
      </c>
      <c r="D24" s="50">
        <v>26</v>
      </c>
      <c r="E24" s="51" t="s">
        <v>586</v>
      </c>
      <c r="F24" s="51" t="s">
        <v>650</v>
      </c>
      <c r="G24" s="51" t="s">
        <v>651</v>
      </c>
      <c r="H24" s="51" t="s">
        <v>652</v>
      </c>
      <c r="I24" s="51" t="s">
        <v>590</v>
      </c>
      <c r="J24" s="51" t="s">
        <v>591</v>
      </c>
    </row>
    <row r="25" spans="1:10" ht="213.3" customHeight="1">
      <c r="A25" s="50">
        <v>25</v>
      </c>
      <c r="B25" s="51" t="s">
        <v>283</v>
      </c>
      <c r="C25" s="51" t="s">
        <v>653</v>
      </c>
      <c r="D25" s="50">
        <v>26</v>
      </c>
      <c r="E25" s="51" t="s">
        <v>586</v>
      </c>
      <c r="F25" s="51" t="s">
        <v>654</v>
      </c>
      <c r="G25" s="51" t="s">
        <v>655</v>
      </c>
      <c r="H25" s="51" t="s">
        <v>656</v>
      </c>
      <c r="I25" s="51" t="s">
        <v>590</v>
      </c>
      <c r="J25" s="51" t="s">
        <v>591</v>
      </c>
    </row>
    <row r="26" spans="1:10" ht="213.3" customHeight="1">
      <c r="A26" s="50">
        <v>26</v>
      </c>
      <c r="B26" s="51" t="s">
        <v>303</v>
      </c>
      <c r="C26" s="51" t="s">
        <v>307</v>
      </c>
      <c r="D26" s="50">
        <v>26</v>
      </c>
      <c r="E26" s="51" t="s">
        <v>586</v>
      </c>
      <c r="F26" s="51" t="s">
        <v>657</v>
      </c>
      <c r="G26" s="51" t="s">
        <v>658</v>
      </c>
      <c r="H26" s="51" t="s">
        <v>659</v>
      </c>
      <c r="I26" s="51" t="s">
        <v>590</v>
      </c>
      <c r="J26" s="51" t="s">
        <v>591</v>
      </c>
    </row>
    <row r="27" spans="1:10" ht="213.3" customHeight="1">
      <c r="A27" s="50">
        <v>27</v>
      </c>
      <c r="B27" s="51" t="s">
        <v>303</v>
      </c>
      <c r="C27" s="51" t="s">
        <v>320</v>
      </c>
      <c r="D27" s="50">
        <v>26</v>
      </c>
      <c r="E27" s="51" t="s">
        <v>586</v>
      </c>
      <c r="F27" s="51" t="s">
        <v>660</v>
      </c>
      <c r="G27" s="51" t="s">
        <v>661</v>
      </c>
      <c r="H27" s="51" t="s">
        <v>662</v>
      </c>
      <c r="I27" s="51" t="s">
        <v>599</v>
      </c>
      <c r="J27" s="51" t="s">
        <v>591</v>
      </c>
    </row>
    <row r="28" spans="1:10" ht="213.3" customHeight="1">
      <c r="A28" s="50">
        <v>28</v>
      </c>
      <c r="B28" s="51" t="s">
        <v>303</v>
      </c>
      <c r="C28" s="51" t="s">
        <v>325</v>
      </c>
      <c r="D28" s="50">
        <v>26</v>
      </c>
      <c r="E28" s="51" t="s">
        <v>586</v>
      </c>
      <c r="F28" s="51" t="s">
        <v>663</v>
      </c>
      <c r="G28" s="51" t="s">
        <v>664</v>
      </c>
      <c r="H28" s="51" t="s">
        <v>665</v>
      </c>
      <c r="I28" s="51" t="s">
        <v>590</v>
      </c>
      <c r="J28" s="51" t="s">
        <v>591</v>
      </c>
    </row>
    <row r="29" spans="1:10" ht="213.3" customHeight="1">
      <c r="A29" s="50">
        <v>29</v>
      </c>
      <c r="B29" s="51" t="s">
        <v>303</v>
      </c>
      <c r="C29" s="51" t="s">
        <v>330</v>
      </c>
      <c r="D29" s="50">
        <v>26</v>
      </c>
      <c r="E29" s="51" t="s">
        <v>586</v>
      </c>
      <c r="F29" s="51" t="s">
        <v>666</v>
      </c>
      <c r="G29" s="51" t="s">
        <v>667</v>
      </c>
      <c r="H29" s="51" t="s">
        <v>668</v>
      </c>
      <c r="I29" s="51" t="s">
        <v>590</v>
      </c>
      <c r="J29" s="51" t="s">
        <v>591</v>
      </c>
    </row>
    <row r="30" spans="1:10" ht="213.3" customHeight="1">
      <c r="A30" s="50">
        <v>30</v>
      </c>
      <c r="B30" s="51" t="s">
        <v>303</v>
      </c>
      <c r="C30" s="51" t="s">
        <v>340</v>
      </c>
      <c r="D30" s="50">
        <v>26</v>
      </c>
      <c r="E30" s="51" t="s">
        <v>586</v>
      </c>
      <c r="F30" s="51" t="s">
        <v>669</v>
      </c>
      <c r="G30" s="51" t="s">
        <v>670</v>
      </c>
      <c r="H30" s="51" t="s">
        <v>671</v>
      </c>
      <c r="I30" s="51" t="s">
        <v>590</v>
      </c>
      <c r="J30" s="51" t="s">
        <v>591</v>
      </c>
    </row>
    <row r="31" spans="1:10" ht="213.3" customHeight="1">
      <c r="A31" s="50">
        <v>31</v>
      </c>
      <c r="B31" s="51" t="s">
        <v>303</v>
      </c>
      <c r="C31" s="51" t="s">
        <v>313</v>
      </c>
      <c r="D31" s="50">
        <v>26</v>
      </c>
      <c r="E31" s="51" t="s">
        <v>586</v>
      </c>
      <c r="F31" s="51" t="s">
        <v>672</v>
      </c>
      <c r="G31" s="51" t="s">
        <v>673</v>
      </c>
      <c r="H31" s="51" t="s">
        <v>674</v>
      </c>
      <c r="I31" s="51" t="s">
        <v>599</v>
      </c>
      <c r="J31" s="51" t="s">
        <v>591</v>
      </c>
    </row>
    <row r="32" spans="1:10" ht="213.3" customHeight="1">
      <c r="A32" s="50">
        <v>32</v>
      </c>
      <c r="B32" s="51" t="s">
        <v>303</v>
      </c>
      <c r="C32" s="51" t="s">
        <v>335</v>
      </c>
      <c r="D32" s="50">
        <v>26</v>
      </c>
      <c r="E32" s="51" t="s">
        <v>586</v>
      </c>
      <c r="F32" s="51" t="s">
        <v>675</v>
      </c>
      <c r="G32" s="51" t="s">
        <v>676</v>
      </c>
      <c r="H32" s="51" t="s">
        <v>677</v>
      </c>
      <c r="I32" s="51" t="s">
        <v>590</v>
      </c>
      <c r="J32" s="51" t="s">
        <v>591</v>
      </c>
    </row>
    <row r="33" spans="1:10" ht="213.3" customHeight="1">
      <c r="A33" s="50">
        <v>33</v>
      </c>
      <c r="B33" s="51" t="s">
        <v>303</v>
      </c>
      <c r="C33" s="51" t="s">
        <v>345</v>
      </c>
      <c r="D33" s="50">
        <v>26</v>
      </c>
      <c r="E33" s="51" t="s">
        <v>586</v>
      </c>
      <c r="F33" s="51" t="s">
        <v>678</v>
      </c>
      <c r="G33" s="51" t="s">
        <v>679</v>
      </c>
      <c r="H33" s="51" t="s">
        <v>680</v>
      </c>
      <c r="I33" s="51" t="s">
        <v>599</v>
      </c>
      <c r="J33" s="51" t="s">
        <v>591</v>
      </c>
    </row>
    <row r="34" spans="1:10" ht="213.3" customHeight="1">
      <c r="A34" s="50">
        <v>34</v>
      </c>
      <c r="B34" s="51" t="s">
        <v>354</v>
      </c>
      <c r="C34" s="51" t="s">
        <v>355</v>
      </c>
      <c r="D34" s="50">
        <v>26</v>
      </c>
      <c r="E34" s="51" t="s">
        <v>586</v>
      </c>
      <c r="F34" s="51" t="s">
        <v>681</v>
      </c>
      <c r="G34" s="51" t="s">
        <v>682</v>
      </c>
      <c r="H34" s="51" t="s">
        <v>683</v>
      </c>
      <c r="I34" s="51" t="s">
        <v>590</v>
      </c>
      <c r="J34" s="51" t="s">
        <v>591</v>
      </c>
    </row>
    <row r="35" spans="1:10" ht="213.3" customHeight="1">
      <c r="A35" s="50">
        <v>35</v>
      </c>
      <c r="B35" s="51" t="s">
        <v>354</v>
      </c>
      <c r="C35" s="51" t="s">
        <v>368</v>
      </c>
      <c r="D35" s="50">
        <v>26</v>
      </c>
      <c r="E35" s="51" t="s">
        <v>586</v>
      </c>
      <c r="F35" s="51" t="s">
        <v>684</v>
      </c>
      <c r="G35" s="51" t="s">
        <v>685</v>
      </c>
      <c r="H35" s="51" t="s">
        <v>686</v>
      </c>
      <c r="I35" s="51" t="s">
        <v>599</v>
      </c>
      <c r="J35" s="51" t="s">
        <v>591</v>
      </c>
    </row>
    <row r="36" spans="1:10" ht="213.3" customHeight="1">
      <c r="A36" s="50">
        <v>36</v>
      </c>
      <c r="B36" s="51" t="s">
        <v>354</v>
      </c>
      <c r="C36" s="51" t="s">
        <v>374</v>
      </c>
      <c r="D36" s="50">
        <v>26</v>
      </c>
      <c r="E36" s="51" t="s">
        <v>586</v>
      </c>
      <c r="F36" s="51" t="s">
        <v>687</v>
      </c>
      <c r="G36" s="51" t="s">
        <v>688</v>
      </c>
      <c r="H36" s="51" t="s">
        <v>689</v>
      </c>
      <c r="I36" s="51" t="s">
        <v>590</v>
      </c>
      <c r="J36" s="51" t="s">
        <v>591</v>
      </c>
    </row>
    <row r="37" spans="1:10" ht="213.3" customHeight="1">
      <c r="A37" s="50">
        <v>37</v>
      </c>
      <c r="B37" s="51" t="s">
        <v>354</v>
      </c>
      <c r="C37" s="51" t="s">
        <v>362</v>
      </c>
      <c r="D37" s="50">
        <v>26</v>
      </c>
      <c r="E37" s="51" t="s">
        <v>586</v>
      </c>
      <c r="F37" s="51" t="s">
        <v>690</v>
      </c>
      <c r="G37" s="51" t="s">
        <v>691</v>
      </c>
      <c r="H37" s="51" t="s">
        <v>692</v>
      </c>
      <c r="I37" s="51" t="s">
        <v>599</v>
      </c>
      <c r="J37" s="51" t="s">
        <v>591</v>
      </c>
    </row>
    <row r="38" spans="1:10" ht="213.3" customHeight="1">
      <c r="A38" s="50">
        <v>38</v>
      </c>
      <c r="B38" s="51" t="s">
        <v>354</v>
      </c>
      <c r="C38" s="51" t="s">
        <v>381</v>
      </c>
      <c r="D38" s="50">
        <v>26</v>
      </c>
      <c r="E38" s="51" t="s">
        <v>586</v>
      </c>
      <c r="F38" s="51" t="s">
        <v>693</v>
      </c>
      <c r="G38" s="52" t="s">
        <v>694</v>
      </c>
      <c r="H38" s="51" t="s">
        <v>695</v>
      </c>
      <c r="I38" s="51" t="s">
        <v>599</v>
      </c>
      <c r="J38" s="51" t="s">
        <v>591</v>
      </c>
    </row>
    <row r="39" spans="1:10" ht="213.3" customHeight="1">
      <c r="A39" s="50">
        <v>39</v>
      </c>
      <c r="B39" s="51" t="s">
        <v>386</v>
      </c>
      <c r="C39" s="51" t="s">
        <v>387</v>
      </c>
      <c r="D39" s="50">
        <v>26</v>
      </c>
      <c r="E39" s="51" t="s">
        <v>586</v>
      </c>
      <c r="F39" s="51" t="s">
        <v>696</v>
      </c>
      <c r="G39" s="51" t="s">
        <v>697</v>
      </c>
      <c r="H39" s="51" t="s">
        <v>698</v>
      </c>
      <c r="I39" s="51" t="s">
        <v>590</v>
      </c>
      <c r="J39" s="51" t="s">
        <v>591</v>
      </c>
    </row>
    <row r="40" spans="1:10" ht="213.3" customHeight="1">
      <c r="A40" s="50">
        <v>40</v>
      </c>
      <c r="B40" s="51" t="s">
        <v>386</v>
      </c>
      <c r="C40" s="51" t="s">
        <v>400</v>
      </c>
      <c r="D40" s="50">
        <v>26</v>
      </c>
      <c r="E40" s="51" t="s">
        <v>586</v>
      </c>
      <c r="F40" s="51" t="s">
        <v>699</v>
      </c>
      <c r="G40" s="51" t="s">
        <v>700</v>
      </c>
      <c r="H40" s="51" t="s">
        <v>701</v>
      </c>
      <c r="I40" s="51" t="s">
        <v>599</v>
      </c>
      <c r="J40" s="51" t="s">
        <v>591</v>
      </c>
    </row>
    <row r="41" spans="1:10" ht="213.3" customHeight="1">
      <c r="A41" s="50">
        <v>41</v>
      </c>
      <c r="B41" s="51" t="s">
        <v>386</v>
      </c>
      <c r="C41" s="51" t="s">
        <v>408</v>
      </c>
      <c r="D41" s="50">
        <v>26</v>
      </c>
      <c r="E41" s="51" t="s">
        <v>586</v>
      </c>
      <c r="F41" s="51" t="s">
        <v>702</v>
      </c>
      <c r="G41" s="51" t="s">
        <v>703</v>
      </c>
      <c r="H41" s="51" t="s">
        <v>704</v>
      </c>
      <c r="I41" s="51" t="s">
        <v>599</v>
      </c>
      <c r="J41" s="51" t="s">
        <v>591</v>
      </c>
    </row>
    <row r="42" spans="1:10" ht="213.3" customHeight="1">
      <c r="A42" s="50">
        <v>42</v>
      </c>
      <c r="B42" s="51" t="s">
        <v>386</v>
      </c>
      <c r="C42" s="51" t="s">
        <v>414</v>
      </c>
      <c r="D42" s="50">
        <v>26</v>
      </c>
      <c r="E42" s="51" t="s">
        <v>586</v>
      </c>
      <c r="F42" s="51" t="s">
        <v>705</v>
      </c>
      <c r="G42" s="52" t="s">
        <v>706</v>
      </c>
      <c r="H42" s="51" t="s">
        <v>707</v>
      </c>
      <c r="I42" s="51" t="s">
        <v>590</v>
      </c>
      <c r="J42" s="51" t="s">
        <v>591</v>
      </c>
    </row>
    <row r="43" spans="1:10" ht="213.3" customHeight="1">
      <c r="A43" s="50">
        <v>43</v>
      </c>
      <c r="B43" s="51" t="s">
        <v>386</v>
      </c>
      <c r="C43" s="51" t="s">
        <v>395</v>
      </c>
      <c r="D43" s="50">
        <v>26</v>
      </c>
      <c r="E43" s="51" t="s">
        <v>586</v>
      </c>
      <c r="F43" s="51" t="s">
        <v>708</v>
      </c>
      <c r="G43" s="51" t="s">
        <v>709</v>
      </c>
      <c r="H43" s="51" t="s">
        <v>710</v>
      </c>
      <c r="I43" s="51" t="s">
        <v>599</v>
      </c>
      <c r="J43" s="51" t="s">
        <v>591</v>
      </c>
    </row>
    <row r="44" spans="1:10" ht="213.3" customHeight="1">
      <c r="A44" s="50">
        <v>44</v>
      </c>
      <c r="B44" s="51" t="s">
        <v>386</v>
      </c>
      <c r="C44" s="51" t="s">
        <v>418</v>
      </c>
      <c r="D44" s="50">
        <v>26</v>
      </c>
      <c r="E44" s="51" t="s">
        <v>586</v>
      </c>
      <c r="F44" s="51" t="s">
        <v>711</v>
      </c>
      <c r="G44" s="51" t="s">
        <v>712</v>
      </c>
      <c r="H44" s="51" t="s">
        <v>713</v>
      </c>
      <c r="I44" s="51" t="s">
        <v>599</v>
      </c>
      <c r="J44" s="51" t="s">
        <v>591</v>
      </c>
    </row>
    <row r="45" spans="1:10">
      <c r="B45" t="s">
        <v>386</v>
      </c>
      <c r="C45" t="s">
        <v>394</v>
      </c>
      <c r="D45" t="s">
        <v>714</v>
      </c>
      <c r="E45" t="s">
        <v>715</v>
      </c>
      <c r="F45" t="s">
        <v>716</v>
      </c>
      <c r="G45" t="s">
        <v>717</v>
      </c>
      <c r="H45" t="s">
        <v>718</v>
      </c>
      <c r="I45" t="s">
        <v>599</v>
      </c>
      <c r="J45" t="s">
        <v>719</v>
      </c>
    </row>
    <row r="46" spans="1:10">
      <c r="B46" t="s">
        <v>386</v>
      </c>
      <c r="C46" t="s">
        <v>399</v>
      </c>
      <c r="D46" t="s">
        <v>714</v>
      </c>
      <c r="E46" t="s">
        <v>720</v>
      </c>
      <c r="F46" t="s">
        <v>716</v>
      </c>
      <c r="H46" t="s">
        <v>721</v>
      </c>
      <c r="I46" t="s">
        <v>599</v>
      </c>
      <c r="J46" t="s">
        <v>719</v>
      </c>
    </row>
    <row r="47" spans="1:10">
      <c r="B47" t="s">
        <v>386</v>
      </c>
      <c r="C47" t="s">
        <v>407</v>
      </c>
      <c r="D47" t="s">
        <v>714</v>
      </c>
      <c r="E47" t="s">
        <v>720</v>
      </c>
      <c r="F47" t="s">
        <v>716</v>
      </c>
      <c r="H47" t="s">
        <v>721</v>
      </c>
      <c r="I47" t="s">
        <v>599</v>
      </c>
      <c r="J47" t="s">
        <v>719</v>
      </c>
    </row>
    <row r="48" spans="1:10">
      <c r="B48" t="s">
        <v>165</v>
      </c>
      <c r="C48" t="s">
        <v>196</v>
      </c>
      <c r="D48" t="s">
        <v>714</v>
      </c>
      <c r="E48" t="s">
        <v>715</v>
      </c>
      <c r="F48" t="s">
        <v>716</v>
      </c>
      <c r="G48" t="s">
        <v>717</v>
      </c>
      <c r="H48" t="s">
        <v>722</v>
      </c>
      <c r="I48" t="s">
        <v>599</v>
      </c>
      <c r="J48" t="s">
        <v>719</v>
      </c>
    </row>
    <row r="49" spans="1:10">
      <c r="A49">
        <v>34</v>
      </c>
      <c r="B49" t="s">
        <v>354</v>
      </c>
      <c r="C49" t="s">
        <v>362</v>
      </c>
      <c r="D49" t="s">
        <v>723</v>
      </c>
      <c r="E49" t="s">
        <v>724</v>
      </c>
      <c r="F49" t="s">
        <v>716</v>
      </c>
      <c r="H49" t="s">
        <v>725</v>
      </c>
      <c r="I49" t="s">
        <v>590</v>
      </c>
      <c r="J49" t="s">
        <v>726</v>
      </c>
    </row>
    <row r="50" spans="1:10">
      <c r="B50" t="s">
        <v>354</v>
      </c>
      <c r="C50" t="s">
        <v>380</v>
      </c>
      <c r="D50" t="s">
        <v>714</v>
      </c>
      <c r="E50" t="s">
        <v>720</v>
      </c>
      <c r="F50" t="s">
        <v>716</v>
      </c>
      <c r="H50" t="s">
        <v>727</v>
      </c>
      <c r="I50" t="s">
        <v>599</v>
      </c>
      <c r="J50" t="s">
        <v>719</v>
      </c>
    </row>
    <row r="51" spans="1:10">
      <c r="B51" t="s">
        <v>259</v>
      </c>
      <c r="C51" t="s">
        <v>278</v>
      </c>
      <c r="D51" t="s">
        <v>714</v>
      </c>
      <c r="E51" t="s">
        <v>715</v>
      </c>
      <c r="F51" t="s">
        <v>716</v>
      </c>
      <c r="G51" t="s">
        <v>717</v>
      </c>
      <c r="H51" t="s">
        <v>728</v>
      </c>
      <c r="I51" t="s">
        <v>599</v>
      </c>
      <c r="J51" t="s">
        <v>719</v>
      </c>
    </row>
    <row r="52" spans="1:10">
      <c r="B52" t="s">
        <v>259</v>
      </c>
      <c r="C52" t="s">
        <v>273</v>
      </c>
      <c r="D52" t="s">
        <v>714</v>
      </c>
      <c r="E52" t="s">
        <v>715</v>
      </c>
      <c r="F52" t="s">
        <v>716</v>
      </c>
      <c r="G52" t="s">
        <v>717</v>
      </c>
      <c r="H52" t="s">
        <v>728</v>
      </c>
      <c r="I52" t="s">
        <v>599</v>
      </c>
      <c r="J52" t="s">
        <v>719</v>
      </c>
    </row>
    <row r="53" spans="1:10">
      <c r="B53" t="s">
        <v>303</v>
      </c>
      <c r="C53" t="s">
        <v>304</v>
      </c>
      <c r="D53" t="s">
        <v>714</v>
      </c>
      <c r="E53" t="s">
        <v>720</v>
      </c>
      <c r="F53" t="s">
        <v>716</v>
      </c>
      <c r="H53" t="s">
        <v>729</v>
      </c>
      <c r="I53" t="s">
        <v>599</v>
      </c>
      <c r="J53" t="s">
        <v>719</v>
      </c>
    </row>
    <row r="54" spans="1:10">
      <c r="B54" t="s">
        <v>223</v>
      </c>
      <c r="C54" t="s">
        <v>252</v>
      </c>
      <c r="D54" t="s">
        <v>714</v>
      </c>
      <c r="E54" t="s">
        <v>715</v>
      </c>
      <c r="F54" t="s">
        <v>716</v>
      </c>
      <c r="G54" t="s">
        <v>717</v>
      </c>
      <c r="H54" t="s">
        <v>730</v>
      </c>
      <c r="I54" t="s">
        <v>599</v>
      </c>
      <c r="J54" t="s">
        <v>719</v>
      </c>
    </row>
    <row r="55" spans="1:10">
      <c r="B55" t="s">
        <v>223</v>
      </c>
      <c r="C55" t="s">
        <v>253</v>
      </c>
      <c r="D55" t="s">
        <v>714</v>
      </c>
      <c r="E55" t="s">
        <v>731</v>
      </c>
      <c r="F55" t="s">
        <v>716</v>
      </c>
      <c r="G55" t="s">
        <v>732</v>
      </c>
      <c r="H55" t="s">
        <v>733</v>
      </c>
      <c r="I55" t="s">
        <v>590</v>
      </c>
      <c r="J55" t="s">
        <v>719</v>
      </c>
    </row>
    <row r="56" spans="1:10">
      <c r="B56" t="s">
        <v>223</v>
      </c>
      <c r="C56" t="s">
        <v>246</v>
      </c>
      <c r="D56" t="s">
        <v>714</v>
      </c>
      <c r="E56" t="s">
        <v>715</v>
      </c>
      <c r="F56" t="s">
        <v>716</v>
      </c>
      <c r="G56" t="s">
        <v>717</v>
      </c>
      <c r="H56" t="s">
        <v>730</v>
      </c>
      <c r="I56" t="s">
        <v>599</v>
      </c>
      <c r="J56" t="s">
        <v>719</v>
      </c>
    </row>
    <row r="57" spans="1:10">
      <c r="B57" t="s">
        <v>283</v>
      </c>
      <c r="C57" t="s">
        <v>284</v>
      </c>
      <c r="D57" t="s">
        <v>714</v>
      </c>
      <c r="E57" t="s">
        <v>734</v>
      </c>
      <c r="F57" t="s">
        <v>716</v>
      </c>
      <c r="G57" t="s">
        <v>732</v>
      </c>
      <c r="H57" t="s">
        <v>735</v>
      </c>
      <c r="I57" t="s">
        <v>599</v>
      </c>
      <c r="J57" t="s">
        <v>719</v>
      </c>
    </row>
    <row r="58" spans="1:10">
      <c r="B58" t="s">
        <v>136</v>
      </c>
      <c r="C58" t="s">
        <v>137</v>
      </c>
      <c r="D58" t="s">
        <v>714</v>
      </c>
      <c r="E58" t="s">
        <v>715</v>
      </c>
      <c r="F58" t="s">
        <v>716</v>
      </c>
      <c r="G58" t="s">
        <v>717</v>
      </c>
      <c r="H58" t="s">
        <v>736</v>
      </c>
      <c r="I58" t="s">
        <v>599</v>
      </c>
      <c r="J58" t="s">
        <v>719</v>
      </c>
    </row>
    <row r="59" spans="1:10">
      <c r="B59" t="s">
        <v>136</v>
      </c>
      <c r="C59" t="s">
        <v>163</v>
      </c>
      <c r="D59" t="s">
        <v>714</v>
      </c>
      <c r="E59" t="s">
        <v>720</v>
      </c>
      <c r="F59" t="s">
        <v>716</v>
      </c>
      <c r="H59" t="s">
        <v>737</v>
      </c>
      <c r="I59" t="s">
        <v>599</v>
      </c>
      <c r="J59" t="s">
        <v>719</v>
      </c>
    </row>
    <row r="60" spans="1:10">
      <c r="B60" t="s">
        <v>197</v>
      </c>
      <c r="C60" t="s">
        <v>206</v>
      </c>
      <c r="D60" t="s">
        <v>714</v>
      </c>
      <c r="E60" t="s">
        <v>715</v>
      </c>
      <c r="F60" t="s">
        <v>716</v>
      </c>
      <c r="G60" t="s">
        <v>717</v>
      </c>
      <c r="H60" t="s">
        <v>738</v>
      </c>
      <c r="I60" t="s">
        <v>599</v>
      </c>
      <c r="J60" t="s">
        <v>719</v>
      </c>
    </row>
  </sheetData>
  <mergeCells count="3">
    <mergeCell ref="A1:J1"/>
    <mergeCell ref="B3:J3"/>
    <mergeCell ref="B2:J2"/>
  </mergeCells>
  <phoneticPr fontId="4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SUV主表</vt:lpstr>
      <vt:lpstr>说明 README</vt:lpstr>
      <vt:lpstr>补全依据 Fill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Rajabali</dc:creator>
  <cp:lastModifiedBy>Shayan Rajabali</cp:lastModifiedBy>
  <dcterms:created xsi:type="dcterms:W3CDTF">2026-03-13T12:22:17Z</dcterms:created>
  <dcterms:modified xsi:type="dcterms:W3CDTF">2026-03-13T12:22:17Z</dcterms:modified>
</cp:coreProperties>
</file>